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image/jpeg" Extension="jpg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ml.chart+xml" PartName="/xl/charts/chart1.xml"/>
  <Override ContentType="application/vnd.openxmlformats-officedocument.themeOverride+xml" PartName="/xl/theme/themeOverride1.xml"/>
  <Override ContentType="application/vnd.openxmlformats-officedocument.drawingml.chart+xml" PartName="/xl/charts/chart2.xml"/>
  <Override ContentType="application/vnd.openxmlformats-officedocument.themeOverride+xml" PartName="/xl/theme/themeOverride2.xml"/>
  <Override ContentType="application/vnd.openxmlformats-officedocument.drawingml.chart+xml" PartName="/xl/charts/chart3.xml"/>
  <Override ContentType="application/vnd.openxmlformats-officedocument.themeOverride+xml" PartName="/xl/theme/themeOverride3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themeOverride+xml" PartName="/xl/theme/themeOverride4.xml"/>
  <Override ContentType="application/vnd.openxmlformats-officedocument.drawingml.chart+xml" PartName="/xl/charts/chart6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themeOverride+xml" PartName="/xl/theme/themeOverride5.xml"/>
  <Override ContentType="application/vnd.openxmlformats-officedocument.drawingml.chart+xml" PartName="/xl/charts/chart7.xml"/>
  <Override ContentType="application/vnd.openxmlformats-officedocument.drawing+xml" PartName="/xl/drawings/drawing7.xml"/>
  <Override ContentType="application/vnd.openxmlformats-officedocument.drawingml.chart+xml" PartName="/xl/charts/chart8.xml"/>
  <Override ContentType="application/vnd.openxmlformats-officedocument.drawing+xml" PartName="/xl/drawings/drawing8.xml"/>
  <Override ContentType="application/vnd.openxmlformats-officedocument.drawingml.chart+xml" PartName="/xl/charts/chart9.xml"/>
  <Override ContentType="application/vnd.openxmlformats-officedocument.drawing+xml" PartName="/xl/drawings/drawing9.xml"/>
  <Override ContentType="application/vnd.openxmlformats-officedocument.drawingml.chart+xml" PartName="/xl/charts/chart10.xml"/>
  <Override ContentType="application/vnd.openxmlformats-officedocument.drawing+xml" PartName="/xl/drawings/drawing10.xml"/>
  <Override ContentType="application/vnd.openxmlformats-officedocument.drawingml.chart+xml" PartName="/xl/charts/chart11.xml"/>
  <Override ContentType="application/vnd.openxmlformats-officedocument.drawing+xml" PartName="/xl/drawings/drawing11.xml"/>
  <Override ContentType="application/vnd.openxmlformats-officedocument.drawingml.chart+xml" PartName="/xl/charts/chart12.xml"/>
  <Override ContentType="application/vnd.openxmlformats-officedocument.drawing+xml" PartName="/xl/drawings/drawing12.xml"/>
  <Override ContentType="application/vnd.openxmlformats-officedocument.drawingml.chart+xml" PartName="/xl/charts/chart13.xml"/>
  <Override ContentType="application/vnd.openxmlformats-officedocument.drawing+xml" PartName="/xl/drawings/drawing13.xml"/>
  <Override ContentType="application/vnd.openxmlformats-officedocument.drawingml.chart+xml" PartName="/xl/charts/chart14.xml"/>
  <Override ContentType="application/vnd.openxmlformats-officedocument.drawing+xml" PartName="/xl/drawings/drawing14.xml"/>
  <Override ContentType="application/vnd.openxmlformats-officedocument.drawingml.chart+xml" PartName="/xl/charts/chart15.xml"/>
  <Override ContentType="application/vnd.openxmlformats-officedocument.drawing+xml" PartName="/xl/drawings/drawing15.xml"/>
  <Override ContentType="application/vnd.openxmlformats-officedocument.drawingml.chart+xml" PartName="/xl/charts/chart16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ml.chart+xml" PartName="/xl/charts/chart17.xml"/>
  <Override ContentType="application/vnd.openxmlformats-officedocument.themeOverride+xml" PartName="/xl/theme/themeOverride6.xml"/>
  <Override ContentType="application/vnd.openxmlformats-officedocument.drawing+xml" PartName="/xl/drawings/drawing19.xml"/>
  <Override ContentType="application/vnd.openxmlformats-officedocument.drawingml.chart+xml" PartName="/xl/charts/chart18.xml"/>
  <Override ContentType="application/vnd.openxmlformats-officedocument.themeOverride+xml" PartName="/xl/theme/themeOverride7.xml"/>
  <Override ContentType="application/vnd.openxmlformats-officedocument.drawing+xml" PartName="/xl/drawings/drawing20.xml"/>
  <Override ContentType="application/vnd.openxmlformats-officedocument.drawingml.chart+xml" PartName="/xl/charts/chart19.xml"/>
  <Override ContentType="application/vnd.openxmlformats-officedocument.themeOverride+xml" PartName="/xl/theme/themeOverride8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_ROBERT\_IT\Projects\zzzCM\CR-Kerialis\CompteResultat\App_Data\ReportTemplates\"/>
    </mc:Choice>
  </mc:AlternateContent>
  <bookViews>
    <workbookView xWindow="0" yWindow="0" windowWidth="28800" windowHeight="12585" firstSheet="21" activeTab="28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490" r:id="rId8"/>
    <sheet name="AUTRE" sheetId="491" r:id="rId9"/>
    <sheet name="CURE" sheetId="492" r:id="rId10"/>
    <sheet name="DENTA" sheetId="493" r:id="rId11"/>
    <sheet name="HOSPI" sheetId="494" r:id="rId12"/>
    <sheet name="OBSEQ" sheetId="495" r:id="rId13"/>
    <sheet name="OPTIQ" sheetId="496" r:id="rId14"/>
    <sheet name="PREVE" sheetId="497" r:id="rId15"/>
    <sheet name="SOINS" sheetId="498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425" r:id="rId26"/>
    <sheet name="DATA QUARTILE" sheetId="9" r:id="rId27"/>
    <sheet name="AFFICHAGE" sheetId="426" r:id="rId28"/>
    <sheet name="AFFICHAGE-2" sheetId="499" r:id="rId29"/>
    <sheet name="IMPORT" sheetId="231" r:id="rId30"/>
    <sheet name="COLLEGE" sheetId="26" r:id="rId31"/>
    <sheet name="Erreurs" sheetId="36" r:id="rId32"/>
  </sheets>
  <functionGroups builtInGroupCount="18"/>
  <definedNames>
    <definedName name="_xlnm.Print_Area" localSheetId="0">'Page de garde'!$A$1:$T$42</definedName>
    <definedName name="_xlnm.Print_Area" localSheetId="2">'Résultats'!$A$1:$T$39</definedName>
    <definedName name="_xlnm.Print_Area" localSheetId="3">'Evolution effectifs'!$A$1:$M$46</definedName>
    <definedName name="_xlnm.Print_Area" localSheetId="4">'Démographie'!$A$1:$R$48</definedName>
    <definedName name="_xlnm._FilterDatabase" localSheetId="5" hidden="1">'Prestations Réglées'!$C$14:$M$102</definedName>
    <definedName name="_xlnm.Print_Area" localSheetId="5">'Prestations Réglées'!$A$1:$S$106</definedName>
    <definedName name="_xlnm.Print_Area" localSheetId="6">'Prestations Réglées Graph'!$A$1:$T$52</definedName>
    <definedName name="_xlnm._FilterDatabase" localSheetId="17" hidden="1">'Prestations Réglées Moyennes'!$E$14:$F$102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_FilterDatabase" localSheetId="23" hidden="1">'DATA PREST'!$A$1:$R$1</definedName>
    <definedName name="_xlnm._FilterDatabase" localSheetId="24" hidden="1">'DATA EXP'!$A$1:$Q$1</definedName>
  </definedNames>
  <calcPr calcId="152511" calcMode="manual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<sst xmlns="http://schemas.openxmlformats.org/spreadsheetml/2006/main" count="366" uniqueCount="366">
  <si>
    <r xmlns="http://schemas.openxmlformats.org/spreadsheetml/2006/main">
      <t>§</t>
    </r>
    <r xmlns="http://schemas.openxmlformats.org/spreadsheetml/2006/main">
      <rPr>
        <sz val="14"/>
        <rFont val="Arial"/>
        <family val="2"/>
      </rPr>
      <t xml:space="preserve"> Nombres de Bénéficiaires</t>
    </r>
  </si>
  <si>
    <t>ASSURES</t>
  </si>
  <si>
    <t>Répartition en %</t>
  </si>
  <si>
    <t>Effectif 2022</t>
  </si>
  <si>
    <t>du Total général</t>
  </si>
  <si>
    <t>assuré</t>
  </si>
  <si>
    <t>conjoint</t>
  </si>
  <si>
    <t>enfant</t>
  </si>
  <si>
    <t>Total général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</si>
  <si>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</si>
  <si>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</si>
  <si>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</si>
  <si>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</si>
  <si>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</si>
  <si>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</si>
  <si>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</si>
  <si>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</si>
  <si>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</si>
  <si>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</si>
  <si>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</si>
  <si>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</si>
  <si>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</si>
  <si>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</si>
  <si>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</si>
  <si>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</si>
  <si>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</si>
  <si>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</si>
  <si>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</si>
  <si>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t>MAJ EXCEL</t>
  </si>
  <si>
    <t>MAJ POWERPOINT</t>
  </si>
  <si>
    <t>OUI</t>
  </si>
  <si>
    <t>NON</t>
  </si>
  <si>
    <t>STATISTIQUES</t>
  </si>
  <si>
    <t>FRAIS DE SANTE</t>
  </si>
  <si>
    <t>60000016 - 60000017 - 60000018 - 60000087</t>
  </si>
  <si>
    <t>Contrat(s)</t>
  </si>
  <si>
    <t/>
  </si>
  <si>
    <t>VITAKER A4</t>
  </si>
  <si>
    <t>Collège</t>
  </si>
  <si>
    <t>Ens Pers</t>
  </si>
  <si>
    <t xml:space="preserve">Période analysée : </t>
  </si>
  <si>
    <t>1 janvier 2022 au 31 décembre 2022</t>
  </si>
  <si>
    <t>Date d'arrêté des comptes :</t>
  </si>
  <si>
    <t>31 décembre 2022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</si>
  <si>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</si>
  <si>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</si>
  <si>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</si>
  <si>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</si>
  <si>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</si>
  <si>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</si>
  <si>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</si>
  <si>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</si>
  <si>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</si>
  <si>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Moyenne</t>
  </si>
  <si>
    <t>KERIALIS</t>
  </si>
  <si>
    <t>AUTRE</t>
  </si>
  <si>
    <t>ACTES DE PROPHYLAXIE ET PREVENTION</t>
  </si>
  <si>
    <t>APPAREILLAGE REFUSE</t>
  </si>
  <si>
    <t>AUTRES</t>
  </si>
  <si>
    <t>AUTRES PROTHESES ET APPAREILLAGES</t>
  </si>
  <si>
    <t>DIVERS</t>
  </si>
  <si>
    <t>MEDECINE DOUCE</t>
  </si>
  <si>
    <t>PRODUITS DIETETIQUES</t>
  </si>
  <si>
    <t>PROTHESES AUDITIVES</t>
  </si>
  <si>
    <t xml:space="preserve">CURE </t>
  </si>
  <si>
    <t>CURE THERMALE</t>
  </si>
  <si>
    <t>CURES THERMALES</t>
  </si>
  <si>
    <t>DENTA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</si>
  <si>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</si>
  <si>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</si>
  <si>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</si>
  <si>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</si>
  <si>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</si>
  <si>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</si>
  <si>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</si>
  <si>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</si>
  <si>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</si>
  <si>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 xml:space="preserve"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</si>
  <si>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</si>
  <si>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</si>
  <si>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</si>
  <si>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</si>
  <si>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</si>
  <si>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</si>
  <si>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</si>
  <si>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</si>
  <si>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</si>
  <si>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</si>
  <si>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</si>
  <si>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</si>
  <si>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</si>
  <si>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</si>
  <si>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</si>
  <si>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</si>
  <si>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</si>
  <si>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</si>
  <si>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SOINS DENTAIRES</t>
  </si>
  <si>
    <t>SUPPL. PROTH. METALLIQUE RAC MODERE</t>
  </si>
  <si>
    <t>HOSPI</t>
  </si>
  <si>
    <t xml:space="preserve">ACTES DE CHIRUR  CETIP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</si>
  <si>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</si>
  <si>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</si>
  <si>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</si>
  <si>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</si>
  <si>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</si>
  <si>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</si>
  <si>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</si>
  <si>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</si>
  <si>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</si>
  <si>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</si>
  <si>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</si>
  <si>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HORS NOMENCLATURE</t>
  </si>
  <si>
    <t>MAJO. DIMACETIP</t>
  </si>
  <si>
    <t>PARTICIPATION ASSURE</t>
  </si>
  <si>
    <t xml:space="preserve"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</si>
  <si>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</si>
  <si>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</si>
  <si>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</si>
  <si>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</si>
  <si>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</si>
  <si>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</si>
  <si>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</si>
  <si>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</si>
  <si>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</si>
  <si>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</si>
  <si>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</si>
  <si>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</si>
  <si>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</si>
  <si>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</si>
  <si>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</si>
  <si>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</si>
  <si>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</si>
  <si>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</si>
  <si>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</si>
  <si>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</si>
  <si>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</si>
  <si>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</si>
  <si>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GHS ETS MEDIC.SPEC.</t>
  </si>
  <si>
    <t>SOINS COURANTS</t>
  </si>
  <si>
    <t>AU</t>
  </si>
  <si>
    <t>CONTRAT</t>
  </si>
  <si>
    <t>CODCOL</t>
  </si>
  <si>
    <t>ANNEESOIN</t>
  </si>
  <si>
    <t>LIBACTE</t>
  </si>
  <si>
    <t>LIBFAM</t>
  </si>
  <si>
    <t>PROVISION</t>
  </si>
  <si>
    <t>FAMILLE COLLEGE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</si>
  <si>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</si>
  <si>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</si>
  <si>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</si>
  <si>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</si>
  <si>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</si>
  <si>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</si>
  <si>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</si>
  <si>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</si>
  <si>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</si>
  <si>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</si>
  <si>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</si>
  <si>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ESSENTIELLE</t>
  </si>
  <si>
    <t>ORTHODONTIE</t>
  </si>
  <si>
    <t>FAUX</t>
  </si>
  <si>
    <t>VRAI</t>
  </si>
  <si>
    <t>ESSENTIELLE_</t>
  </si>
  <si>
    <t>EQUIPEMENT</t>
  </si>
  <si>
    <t>CONFORT</t>
  </si>
  <si>
    <t>CONSULTATIONS,VISITES ET ACTES DE PETITE CHIRURGIE</t>
  </si>
  <si>
    <t>CONFORT_</t>
  </si>
  <si>
    <t>DEBPRIME</t>
  </si>
  <si>
    <t>FINPRIME</t>
  </si>
  <si>
    <t>ANNEE</t>
  </si>
  <si>
    <t>COTISATION NETTE</t>
  </si>
  <si>
    <t>COTISATION BRUTE</t>
  </si>
  <si>
    <t>SUR MESURE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</si>
  <si>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</si>
  <si>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</si>
  <si>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</si>
  <si>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</si>
  <si>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</si>
  <si>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</si>
  <si>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</si>
  <si>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</si>
  <si>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47500207</t>
  </si>
  <si>
    <t>Masculin</t>
  </si>
  <si>
    <t>Enfant</t>
  </si>
  <si>
    <t>Inférieur à 25 ans</t>
  </si>
  <si>
    <t>Féminin</t>
  </si>
  <si>
    <t>Assuré</t>
  </si>
  <si>
    <t>Tranche 25 à 29 ans</t>
  </si>
  <si>
    <t>Conjoint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</si>
  <si>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</si>
  <si>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</si>
  <si>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</si>
  <si>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</si>
  <si>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</si>
  <si>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</si>
  <si>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</si>
  <si>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t>DATE DEBUT</t>
  </si>
  <si>
    <t>DATE FIN</t>
  </si>
  <si>
    <t>DATE D'ARRETE</t>
  </si>
  <si>
    <t>Comptable/Survenance</t>
  </si>
  <si>
    <t>SANTE_1AN</t>
  </si>
  <si>
    <t>KERIALIS_ENTREPRISE</t>
  </si>
  <si>
    <t>01/01/2020</t>
  </si>
  <si>
    <t>31/12/2021</t>
  </si>
  <si>
    <t>Survenance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</si>
  <si>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</si>
  <si>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</si>
  <si>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</si>
  <si>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</si>
  <si>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</si>
  <si>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</si>
  <si>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</si>
  <si>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</si>
  <si>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2015</t>
  </si>
  <si>
    <t>FRAIS</t>
  </si>
  <si>
    <t>0,1</t>
  </si>
  <si>
    <t>TAXE_COVID</t>
  </si>
  <si>
    <t>0</t>
  </si>
  <si>
    <t>TCA_CMU</t>
  </si>
  <si>
    <t>0,1327</t>
  </si>
  <si>
    <t>2016</t>
  </si>
  <si>
    <t>2017</t>
  </si>
  <si>
    <t>2018</t>
  </si>
  <si>
    <t>2019</t>
  </si>
  <si>
    <t>0,13</t>
  </si>
  <si>
    <t>2020</t>
  </si>
  <si>
    <t>0,147</t>
  </si>
  <si>
    <t>0,039</t>
  </si>
  <si>
    <t>2021</t>
  </si>
  <si>
    <t>2022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</si>
  <si>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</si>
  <si>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</si>
  <si>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</si>
  <si>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</si>
  <si>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</si>
  <si>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</si>
  <si>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</si>
  <si>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</si>
  <si>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</si>
  <si>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</si>
  <si>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</si>
  <si>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</si>
  <si>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</si>
  <si>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</si>
  <si>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</si>
  <si>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</si>
  <si>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</si>
  <si>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</si>
  <si>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</si>
  <si>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</si>
  <si>
    <t>Code collège</t>
  </si>
  <si>
    <t>Libellé collège</t>
  </si>
  <si>
    <t>ACTIFS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</si>
  <si>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</si>
  <si>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</si>
  <si>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</si>
  <si>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</si>
  <si>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</si>
  <si>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</si>
  <si>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</si>
  <si>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</si>
  <si>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</si>
  <si>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</si>
  <si>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VOS PRESTATIONS</t>
  </si>
  <si>
    <t>NOTRE EXPERIENCE année 2022</t>
  </si>
  <si>
    <t>Quantité</t>
  </si>
  <si>
    <t xml:space="preserve"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</si>
  <si>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</si>
  <si>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</si>
  <si>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</si>
  <si>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</si>
  <si>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</si>
  <si>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</si>
  <si>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</si>
  <si>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CURE</t>
  </si>
  <si>
    <t>Répartition des remboursements</t>
  </si>
  <si>
    <t>Montant moyen par bénéficiaire</t>
  </si>
  <si>
    <t>Montant moyen par assuré</t>
  </si>
  <si>
    <t>CODE TRACEUR SAS</t>
  </si>
  <si>
    <t>GROUPE HOMOGENE DE TARIF</t>
  </si>
  <si>
    <t>RÉSEAU ITELIS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</si>
  <si>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</si>
  <si>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</si>
  <si>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</si>
  <si>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</si>
  <si>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</si>
  <si>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</si>
  <si>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</si>
  <si>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</si>
  <si>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</si>
  <si>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</si>
  <si>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</si>
  <si>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Vos prestations</t>
  </si>
  <si>
    <t>Notre expérience</t>
  </si>
  <si>
    <t>Remboursement Autres Régimes</t>
  </si>
  <si>
    <t>Somme de Reste à charge</t>
  </si>
  <si>
    <t>PARODONTOLOGIE</t>
  </si>
  <si>
    <t>PROTHESE-COURONNE 100% PANIER</t>
  </si>
  <si>
    <t>PROTHESE-COURONNE PANIER LIBRE</t>
  </si>
  <si>
    <t>PROTHESE-COURONNE PANIER MAITRISE</t>
  </si>
  <si>
    <t>CHAMBRE PARTICULIERE CHIRURGIE</t>
  </si>
  <si>
    <t>CONSULTATION CCMU 3 D'URGENCE</t>
  </si>
  <si>
    <t>FORFAIT D'ENTRÉE</t>
  </si>
  <si>
    <t>FRAIS SEJOUR</t>
  </si>
  <si>
    <t>FRAIS TRANSPORT</t>
  </si>
  <si>
    <t>HONOR. DISPENS. GRAND CONDIT. NIV.4</t>
  </si>
  <si>
    <t>HONORAIRE / FRAIS SEJOUR</t>
  </si>
  <si>
    <t>HONORAIRES LIES A L'ACCOUCHEMENT</t>
  </si>
  <si>
    <t>IND HÉBERGT + VOYAGE NR</t>
  </si>
  <si>
    <t>INDEMNITE DE NAISSANCE</t>
  </si>
  <si>
    <t>INTERVENTION DURANT GARDE AMBULANCE</t>
  </si>
  <si>
    <t>INTERVENTION HORS GARDE AMBULANCE</t>
  </si>
  <si>
    <t>LIT ACCOMPAGNANT</t>
  </si>
  <si>
    <t>MAJO. SUITE HOSPITALISATION</t>
  </si>
  <si>
    <t>MAJORATION PMSI</t>
  </si>
  <si>
    <t>NOUVEAU FORFAIT ENFANT</t>
  </si>
  <si>
    <t>PARTICIPATION ASSURE HOSPITALISATIO</t>
  </si>
  <si>
    <t>TM RELATIF AUX FRAIS DE SÉJOUR</t>
  </si>
  <si>
    <t>OBSEQ</t>
  </si>
  <si>
    <t>ALLOCATION OBSEQUES</t>
  </si>
  <si>
    <t>EQUIPEMENT CLASSE A</t>
  </si>
  <si>
    <t>KERATOTOMIE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</si>
  <si>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</si>
  <si>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</si>
  <si>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</si>
  <si>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</si>
  <si>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RENOUVELLEMENT D'OPTIQUE</t>
  </si>
  <si>
    <t>VACCINATION GRIPPE PHARMACIEN</t>
  </si>
  <si>
    <t>VACCINS</t>
  </si>
  <si>
    <t>ACTE D IMAGERIE</t>
  </si>
  <si>
    <t>ACTE DE KINÉSITHÉRAPIE EN ÉTABLISSE</t>
  </si>
  <si>
    <t>APPAREIL D ASSISTANCE RESPIRATOIRE</t>
  </si>
  <si>
    <t>APPAREILLAGE AUTRE</t>
  </si>
  <si>
    <t>AUTRES ACCESS. TRAITEMENT DOMICILE</t>
  </si>
  <si>
    <t>EXAMEN DE SUIVI POST-NATAL</t>
  </si>
  <si>
    <t>EXAMEN OBLIGATOIRE ENFANT 100% K</t>
  </si>
  <si>
    <t>FORFAIT PHARMACEUTIQUE JOURNALIER</t>
  </si>
  <si>
    <t>IMAGERIE, RADIOLOGIE, ECHOGRAPHIE</t>
  </si>
  <si>
    <t>INDEM. FORF. DÉPL. KINÉ PERS.-AGÉE</t>
  </si>
  <si>
    <t>MAJO ASTREINTE MILIEU DE NUIT CONSU</t>
  </si>
  <si>
    <t>MAJORATION PSY ENFANT</t>
  </si>
  <si>
    <t>SOIN INFIRMIER PAR SAGE-FEMME</t>
  </si>
  <si>
    <t>SOINS ORTHOPTISTE</t>
  </si>
  <si>
    <t>TÉLÉCONSUL. D'ACCOMP. DANS UN LIEU</t>
  </si>
  <si>
    <t>TEST RAPIDE D'ORIEN. DIAGNOS.ANGINE</t>
  </si>
  <si>
    <t>VISITE LONGUE ET COMPLEXE</t>
  </si>
  <si>
    <r xmlns="http://schemas.openxmlformats.org/spreadsheetml/2006/main">
      <t>§</t>
    </r>
    <r xmlns="http://schemas.openxmlformats.org/spreadsheetml/2006/main">
      <rPr>
        <sz val="12"/>
        <rFont val="Arial"/>
        <family val="2"/>
      </rPr>
      <t xml:space="preserve"> </t>
    </r>
    <r xmlns="http://schemas.openxmlformats.org/spreadsheetml/2006/main">
      <rPr>
        <sz val="12"/>
        <rFont val="DINBek"/>
      </rPr>
      <t>Nombre d'assurés</t>
    </r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</si>
  <si>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Pyramide des âges des assurés</t>
    </r>
  </si>
  <si>
    <t>Age Moyen</t>
  </si>
  <si>
    <t xml:space="preserve">Evolution des Effectifs </t>
  </si>
  <si>
    <t>Tranche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</si>
  <si>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bénéficiaires</t>
    </r>
  </si>
  <si>
    <t>Coefficient Familial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</si>
  <si>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</si>
  <si>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</si>
  <si>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</si>
  <si>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</si>
  <si>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</si>
  <si>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</si>
  <si>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</si>
  <si>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</si>
  <si>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</si>
  <si>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</si>
  <si>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</si>
  <si>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</si>
  <si>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KERIALIS_ : Détail des Prestations Réglées - Synthèse par famille d'actes - année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</si>
</sst>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sz val="16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0000"/>
        <bgColor indexed="64"/>
      </patternFill>
    </fill>
  </fills>
  <borders count="58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hair">
        <color theme="3"/>
      </bottom>
      <diagonal/>
    </border>
    <border>
      <left style="medium">
        <color theme="3"/>
      </left>
      <right/>
      <top style="hair">
        <color theme="3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hair">
        <color theme="3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71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4" applyNumberFormat="1" fontId="1" applyFont="1" fillId="0" applyFill="1" borderId="0" applyBorder="1" xfId="2"/>
    <xf numFmtId="164" applyNumberFormat="1" fontId="1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0" applyNumberFormat="1" fontId="25" applyFont="1" fillId="0" applyFill="1" borderId="0" applyBorder="1" xfId="6"/>
    <xf numFmtId="0" applyNumberFormat="1" fontId="3" applyFont="1" fillId="0" applyFill="1" borderId="0" applyBorder="1" xfId="7"/>
    <xf numFmtId="0" applyNumberFormat="1" fontId="3" applyFont="1" fillId="0" applyFill="1" borderId="0" applyBorder="1" xfId="8"/>
    <xf numFmtId="9" applyNumberFormat="1" fontId="1" applyFont="1" fillId="0" applyFill="1" borderId="0" applyBorder="1" xfId="9"/>
    <xf numFmtId="9" applyNumberFormat="1" fontId="3" applyFont="1" fillId="0" applyFill="1" borderId="0" applyBorder="1" xfId="10"/>
    <xf numFmtId="9" applyNumberFormat="1" fontId="1" applyFont="1" fillId="0" applyFill="1" borderId="0" applyBorder="1" xfId="11"/>
    <xf numFmtId="0" applyNumberFormat="1" fontId="0" applyFont="1" fillId="0" applyFill="1" borderId="6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2" applyFill="1" borderId="0" applyBorder="1" xfId="7"/>
    <xf numFmtId="0" applyNumberFormat="1" fontId="5" applyFont="1" fillId="0" applyFill="1" borderId="0" applyBorder="1" xfId="0">
      <alignment horizontal="left" vertical="center"/>
    </xf>
    <xf numFmtId="0" applyNumberFormat="1" fontId="5" applyFont="1" fillId="0" applyFill="1" borderId="0" applyBorder="1" xfId="4">
      <alignment horizontal="center" vertical="center"/>
    </xf>
    <xf numFmtId="0" applyNumberFormat="1" fontId="6" applyFont="1" fillId="2" applyFill="1" borderId="0" applyBorder="1" xfId="7">
      <alignment vertical="center"/>
    </xf>
    <xf numFmtId="9" applyNumberFormat="1" fontId="6" applyFont="1" fillId="2" applyFill="1" borderId="0" applyBorder="1" xfId="9">
      <alignment horizontal="center" vertical="center" wrapText="1"/>
    </xf>
    <xf numFmtId="0" applyNumberFormat="1" fontId="7" applyFont="1" fillId="0" applyFill="1" borderId="0" applyBorder="1" xfId="0"/>
    <xf numFmtId="0" applyNumberFormat="1" fontId="8" applyFont="1" fillId="2" applyFill="1" borderId="0" applyBorder="1" xfId="7">
      <alignment vertical="center" wrapText="1"/>
    </xf>
    <xf numFmtId="0" applyNumberFormat="1" fontId="9" applyFont="1" fillId="0" applyFill="1" borderId="0" applyBorder="1" xfId="4"/>
    <xf numFmtId="0" applyNumberFormat="1" fontId="9" applyFont="1" fillId="0" applyFill="1" borderId="0" applyBorder="1" xfId="4">
      <alignment horizontal="center" vertical="center"/>
    </xf>
    <xf numFmtId="0" applyNumberFormat="1" fontId="9" applyFont="1" fillId="0" applyFill="1" borderId="15" applyBorder="1" xfId="4">
      <alignment horizontal="center" vertical="center"/>
    </xf>
    <xf numFmtId="0" applyNumberFormat="1" fontId="10" applyFont="1" fillId="3" applyFill="1" borderId="21" applyBorder="1" xfId="4">
      <alignment horizontal="center" vertical="center"/>
    </xf>
    <xf numFmtId="0" applyNumberFormat="1" fontId="11" applyFont="1" fillId="4" applyFill="1" borderId="14" applyBorder="1" xfId="4">
      <alignment horizontal="center" vertical="center" wrapText="1"/>
    </xf>
    <xf numFmtId="0" applyNumberFormat="1" fontId="9" applyFont="1" fillId="0" applyFill="1" borderId="16" applyBorder="1" xfId="4">
      <alignment horizontal="center" vertical="center"/>
    </xf>
    <xf numFmtId="1" applyNumberFormat="1" fontId="9" applyFont="1" fillId="0" applyFill="1" borderId="17" applyBorder="1" xfId="4">
      <alignment horizontal="center" vertical="center"/>
    </xf>
    <xf numFmtId="0" applyNumberFormat="1" fontId="10" applyFont="1" fillId="3" applyFill="1" borderId="22" applyBorder="1" xfId="4">
      <alignment horizontal="center" vertical="center"/>
    </xf>
    <xf numFmtId="1" applyNumberFormat="1" fontId="10" applyFont="1" fillId="3" applyFill="1" borderId="23" applyBorder="1" xfId="4">
      <alignment horizontal="center" vertical="center"/>
    </xf>
    <xf numFmtId="0" applyNumberFormat="1" fontId="9" applyFont="1" fillId="0" applyFill="1" borderId="15" applyBorder="1" xfId="4">
      <alignment horizontal="center"/>
    </xf>
    <xf numFmtId="1" applyNumberFormat="1" fontId="9" applyFont="1" fillId="0" applyFill="1" borderId="15" applyBorder="1" xfId="4">
      <alignment horizontal="center"/>
    </xf>
    <xf numFmtId="0" applyNumberFormat="1" fontId="9" applyFont="1" fillId="0" applyFill="1" borderId="25" applyBorder="1" xfId="4">
      <alignment horizontal="center"/>
    </xf>
    <xf numFmtId="1" applyNumberFormat="1" fontId="9" applyFont="1" fillId="0" applyFill="1" borderId="25" applyBorder="1" xfId="4">
      <alignment horizontal="center"/>
    </xf>
    <xf numFmtId="0" applyNumberFormat="1" fontId="9" applyFont="1" fillId="0" applyFill="1" borderId="2" applyBorder="1" xfId="4">
      <alignment horizontal="center"/>
    </xf>
    <xf numFmtId="1" applyNumberFormat="1" fontId="11" applyFont="1" fillId="0" applyFill="1" borderId="27" applyBorder="1" xfId="4">
      <alignment horizontal="center"/>
    </xf>
    <xf numFmtId="0" applyNumberFormat="1" fontId="3" applyFont="1" fillId="0" applyFill="1" borderId="19" applyBorder="1" xfId="4"/>
    <xf numFmtId="1" applyNumberFormat="1" fontId="9" applyFont="1" fillId="5" applyFill="1" borderId="17" applyBorder="1" xfId="9">
      <alignment horizontal="center" vertical="center"/>
    </xf>
    <xf numFmtId="1" applyNumberFormat="1" fontId="10" applyFont="1" fillId="3" applyFill="1" borderId="23" applyBorder="1" xfId="9">
      <alignment horizontal="center" vertical="center"/>
    </xf>
    <xf numFmtId="0" applyNumberFormat="1" fontId="11" applyFont="1" fillId="4" applyFill="1" borderId="18" applyBorder="1" xfId="4">
      <alignment horizontal="center" vertical="center" wrapText="1"/>
    </xf>
    <xf numFmtId="0" applyNumberFormat="1" fontId="15" applyFont="1" fillId="0" applyFill="1" borderId="0" applyBorder="1" xfId="0"/>
    <xf numFmtId="0" applyNumberFormat="1" fontId="0" applyFont="1" fillId="0" applyFill="1" borderId="0" applyBorder="1" xfId="0" quotePrefix="1"/>
    <xf numFmtId="0" applyNumberFormat="1" fontId="13" applyFont="1" fillId="0" applyFill="1" borderId="0" applyBorder="1" xfId="4"/>
    <xf numFmtId="1" applyNumberFormat="1" fontId="0" applyFont="1" fillId="0" applyFill="1" borderId="0" applyBorder="1" xfId="0"/>
    <xf numFmtId="166" applyNumberFormat="1" fontId="2" applyFont="1" fillId="0" applyFill="1" borderId="0" applyBorder="1" xfId="0"/>
    <xf numFmtId="166" applyNumberFormat="1" fontId="0" applyFont="1" fillId="0" applyFill="1" borderId="0" applyBorder="1" xfId="0"/>
    <xf numFmtId="166" applyNumberFormat="1" fontId="4" applyFont="1" fillId="0" applyFill="1" borderId="0" applyBorder="1" xfId="7">
      <alignment horizontal="left"/>
    </xf>
    <xf numFmtId="166" applyNumberFormat="1" fontId="5" applyFont="1" fillId="0" applyFill="1" borderId="0" applyBorder="1" xfId="0">
      <alignment horizontal="left" vertical="center"/>
    </xf>
    <xf numFmtId="166" applyNumberFormat="1" fontId="5" applyFont="1" fillId="0" applyFill="1" borderId="0" applyBorder="1" xfId="4">
      <alignment horizontal="center" vertical="center"/>
    </xf>
    <xf numFmtId="166" applyNumberFormat="1" fontId="5" applyFont="1" fillId="0" applyFill="1" borderId="2" applyBorder="1" xfId="4">
      <alignment horizontal="center" vertical="center"/>
    </xf>
    <xf numFmtId="166" applyNumberFormat="1" fontId="4" applyFont="1" fillId="2" applyFill="1" borderId="0" applyBorder="1" xfId="7"/>
    <xf numFmtId="166" applyNumberFormat="1" fontId="4" applyFont="1" fillId="2" applyFill="1" borderId="0" applyBorder="1" xfId="7">
      <alignment horizontal="center"/>
    </xf>
    <xf numFmtId="166" applyNumberFormat="1" fontId="0" applyFont="1" fillId="0" applyFill="1" borderId="9" applyBorder="1" xfId="0"/>
    <xf numFmtId="0" applyNumberFormat="1" fontId="18" applyFont="1" fillId="0" applyFill="1" borderId="0" applyBorder="1" xfId="0"/>
    <xf numFmtId="0" applyNumberFormat="1" fontId="19" applyFont="1" fillId="2" applyFill="1" borderId="0" applyBorder="1" xfId="4">
      <alignment horizontal="center" vertical="center"/>
    </xf>
    <xf numFmtId="9" applyNumberFormat="1" fontId="5" applyFont="1" fillId="0" applyFill="1" borderId="0" applyBorder="1" xfId="9">
      <alignment horizontal="center" vertical="center"/>
    </xf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7" applyBorder="1" xfId="0"/>
    <xf numFmtId="0" applyNumberFormat="1" fontId="0" applyFont="1" fillId="0" applyFill="1" borderId="10" applyBorder="1" xfId="0"/>
    <xf numFmtId="166" applyNumberFormat="1" fontId="0" applyFont="1" fillId="0" applyFill="1" borderId="4" applyBorder="1" xfId="0"/>
    <xf numFmtId="2" applyNumberFormat="1" fontId="0" applyFont="1" fillId="0" applyFill="1" borderId="0" applyBorder="1" xfId="0"/>
    <xf numFmtId="168" applyNumberFormat="1" fontId="17" applyFont="1" fillId="5" applyFill="1" borderId="35" applyBorder="1" xfId="1">
      <alignment horizontal="right" vertical="center"/>
    </xf>
    <xf numFmtId="166" applyNumberFormat="1" fontId="17" applyFont="1" fillId="5" applyFill="1" borderId="35" applyBorder="1" xfId="4">
      <alignment horizontal="right" vertical="center"/>
    </xf>
    <xf numFmtId="9" applyNumberFormat="1" fontId="17" applyFont="1" fillId="5" applyFill="1" borderId="35" applyBorder="1" xfId="4">
      <alignment horizontal="right" vertical="center"/>
    </xf>
    <xf numFmtId="0" applyNumberFormat="1" fontId="2" applyFont="1" fillId="2" applyFill="1" borderId="0" applyBorder="1" xfId="0"/>
    <xf numFmtId="0" applyNumberFormat="1" fontId="0" applyFont="1" fillId="2" applyFill="1" borderId="0" applyBorder="1" xfId="0"/>
    <xf numFmtId="0" applyNumberFormat="1" fontId="27" applyFont="1" fillId="0" applyFill="1" borderId="0" applyBorder="1" xfId="4"/>
    <xf numFmtId="0" applyNumberFormat="1" fontId="26" applyFont="1" fillId="0" applyFill="1" borderId="0" applyBorder="1" xfId="0">
      <alignment horizontal="center" vertical="center"/>
    </xf>
    <xf numFmtId="0" applyNumberFormat="1" fontId="26" applyFont="1" fillId="0" applyFill="1" borderId="0" applyBorder="1" xfId="0">
      <alignment vertical="center"/>
    </xf>
    <xf numFmtId="0" applyNumberFormat="1" fontId="26" applyFont="1" fillId="2" applyFill="1" borderId="0" applyBorder="1" xfId="0">
      <alignment vertical="center"/>
    </xf>
    <xf numFmtId="169" applyNumberFormat="1" fontId="17" applyFont="1" fillId="5" applyFill="1" borderId="35" applyBorder="1" xfId="1">
      <alignment horizontal="right" vertical="center"/>
    </xf>
    <xf numFmtId="10" applyNumberFormat="1" fontId="2" applyFont="1" fillId="0" applyFill="1" borderId="0" applyBorder="1" xfId="0"/>
    <xf numFmtId="10" applyNumberFormat="1" fontId="0" applyFont="1" fillId="0" applyFill="1" borderId="9" applyBorder="1" xfId="0"/>
    <xf numFmtId="0" applyNumberFormat="1" fontId="29" applyFont="1" fillId="0" applyFill="1" borderId="0" applyBorder="1" xfId="0"/>
    <xf numFmtId="0" applyNumberFormat="1" fontId="29" applyFont="1" fillId="0" applyFill="1" borderId="3" applyBorder="1" xfId="0"/>
    <xf numFmtId="0" applyNumberFormat="1" fontId="29" applyFont="1" fillId="0" applyFill="1" borderId="4" applyBorder="1" xfId="0"/>
    <xf numFmtId="0" applyNumberFormat="1" fontId="29" applyFont="1" fillId="0" applyFill="1" borderId="5" applyBorder="1" xfId="0"/>
    <xf numFmtId="0" applyNumberFormat="1" fontId="29" applyFont="1" fillId="0" applyFill="1" borderId="6" applyBorder="1" xfId="0"/>
    <xf numFmtId="0" applyNumberFormat="1" fontId="29" applyFont="1" fillId="0" applyFill="1" borderId="7" applyBorder="1" xfId="0"/>
    <xf numFmtId="0" applyNumberFormat="1" fontId="30" applyFont="1" fillId="0" applyFill="1" borderId="0" applyBorder="1" xfId="8">
      <alignment horizontal="left" vertical="center"/>
    </xf>
    <xf numFmtId="0" applyNumberFormat="1" fontId="29" applyFont="1" fillId="0" applyFill="1" borderId="0" applyBorder="1" xfId="0">
      <alignment horizontal="left" vertical="center"/>
    </xf>
    <xf numFmtId="0" applyNumberFormat="1" fontId="31" applyFont="1" fillId="0" applyFill="1" borderId="0" applyBorder="1" xfId="0"/>
    <xf numFmtId="0" applyNumberFormat="1" fontId="29" applyFont="1" fillId="0" applyFill="1" borderId="6" applyBorder="1" xfId="0">
      <alignment wrapText="1"/>
    </xf>
    <xf numFmtId="0" applyNumberFormat="1" fontId="29" applyFont="1" fillId="0" applyFill="1" borderId="7" applyBorder="1" xfId="0">
      <alignment wrapText="1"/>
    </xf>
    <xf numFmtId="0" applyNumberFormat="1" fontId="31" applyFont="1" fillId="0" applyFill="1" borderId="6" applyBorder="1" xfId="0"/>
    <xf numFmtId="0" applyNumberFormat="1" fontId="31" applyFont="1" fillId="0" applyFill="1" borderId="0" applyBorder="1" xfId="0">
      <alignment horizontal="left" vertical="center"/>
    </xf>
    <xf numFmtId="0" applyNumberFormat="1" fontId="32" applyFont="1" fillId="0" applyFill="1" borderId="0" applyBorder="1" xfId="8">
      <alignment horizontal="left" vertical="center"/>
    </xf>
    <xf numFmtId="0" applyNumberFormat="1" fontId="31" applyFont="1" fillId="0" applyFill="1" borderId="7" applyBorder="1" xfId="0"/>
    <xf numFmtId="0" applyNumberFormat="1" fontId="31" applyFont="1" fillId="0" applyFill="1" borderId="0" applyBorder="1" xfId="0">
      <alignment vertical="center" wrapText="1"/>
    </xf>
    <xf numFmtId="0" applyNumberFormat="1" fontId="33" applyFont="1" fillId="0" applyFill="1" borderId="0" applyBorder="1" xfId="8">
      <alignment horizontal="left" vertical="center"/>
    </xf>
    <xf numFmtId="0" applyNumberFormat="1" fontId="34" applyFont="1" fillId="0" applyFill="1" borderId="0" applyBorder="1" xfId="8">
      <alignment horizontal="left" vertical="center"/>
    </xf>
    <xf numFmtId="0" applyNumberFormat="1" fontId="35" applyFont="1" fillId="0" applyFill="1" borderId="0" applyBorder="1" xfId="8">
      <alignment horizontal="left" vertical="center"/>
    </xf>
    <xf numFmtId="0" applyNumberFormat="1" fontId="36" applyFont="1" fillId="0" applyFill="1" borderId="0" applyBorder="1" xfId="8">
      <alignment horizontal="center"/>
    </xf>
    <xf numFmtId="0" applyNumberFormat="1" fontId="29" applyFont="1" fillId="0" applyFill="1" borderId="8" applyBorder="1" xfId="0"/>
    <xf numFmtId="0" applyNumberFormat="1" fontId="29" applyFont="1" fillId="0" applyFill="1" borderId="9" applyBorder="1" xfId="0"/>
    <xf numFmtId="0" applyNumberFormat="1" fontId="29" applyFont="1" fillId="0" applyFill="1" borderId="10" applyBorder="1" xfId="0"/>
    <xf numFmtId="0" applyNumberFormat="1" fontId="37" applyFont="1" fillId="0" applyFill="1" borderId="0" applyBorder="1" xfId="7" quotePrefix="1"/>
    <xf numFmtId="0" applyNumberFormat="1" fontId="37" applyFont="1" fillId="0" applyFill="1" borderId="0" applyBorder="1" xfId="7"/>
    <xf numFmtId="14" applyNumberFormat="1" fontId="37" applyFont="1" fillId="0" applyFill="1" borderId="0" applyBorder="1" xfId="7">
      <alignment horizontal="left"/>
    </xf>
    <xf numFmtId="166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1" applyBorder="1" xfId="4">
      <alignment horizontal="center" vertical="center"/>
    </xf>
    <xf numFmtId="0" applyNumberFormat="1" fontId="6" applyFont="1" fillId="8" applyFill="1" borderId="0" applyBorder="1" xfId="4">
      <alignment horizontal="center" vertical="center"/>
    </xf>
    <xf numFmtId="0" applyNumberFormat="1" fontId="38" applyFont="1" fillId="2" applyFill="1" borderId="0" applyBorder="1" xfId="4">
      <alignment horizontal="center" vertical="center"/>
    </xf>
    <xf numFmtId="0" applyNumberFormat="1" fontId="13" applyFont="1" fillId="2" applyFill="1" borderId="0" applyBorder="1" xfId="7"/>
    <xf numFmtId="0" applyNumberFormat="1" fontId="39" applyFont="1" fillId="2" applyFill="1" borderId="0" applyBorder="1" xfId="7"/>
    <xf numFmtId="0" applyNumberFormat="1" fontId="37" applyFont="1" fillId="0" applyFill="1" borderId="0" applyBorder="1" xfId="0">
      <alignment horizontal="left" vertical="center"/>
    </xf>
    <xf numFmtId="0" applyNumberFormat="1" fontId="37" applyFont="1" fillId="2" applyFill="1" borderId="0" applyBorder="1" xfId="7"/>
    <xf numFmtId="166" applyNumberFormat="1" fontId="37" applyFont="1" fillId="2" applyFill="1" borderId="0" applyBorder="1" xfId="7"/>
    <xf numFmtId="166" applyNumberFormat="1" fontId="37" applyFont="1" fillId="2" applyFill="1" borderId="0" applyBorder="1" xfId="7">
      <alignment horizontal="center"/>
    </xf>
    <xf numFmtId="0" applyNumberFormat="1" fontId="40" applyFont="1" fillId="2" applyFill="1" borderId="0" applyBorder="1" xfId="7">
      <alignment vertical="center"/>
    </xf>
    <xf numFmtId="9" applyNumberFormat="1" fontId="40" applyFont="1" fillId="2" applyFill="1" borderId="0" applyBorder="1" xfId="9">
      <alignment horizontal="center" vertical="center" wrapText="1"/>
    </xf>
    <xf numFmtId="0" applyNumberFormat="1" fontId="41" applyFont="1" fillId="0" applyFill="1" borderId="0" applyBorder="1" xfId="0"/>
    <xf numFmtId="0" applyNumberFormat="1" fontId="42" applyFont="1" fillId="0" applyFill="1" borderId="0" applyBorder="1" xfId="4"/>
    <xf numFmtId="0" applyNumberFormat="1" fontId="39" applyFont="1" fillId="0" applyFill="1" borderId="0" applyBorder="1" xfId="4"/>
    <xf numFmtId="0" applyNumberFormat="1" fontId="11" applyFont="1" fillId="8" applyFill="1" borderId="24" applyBorder="1" xfId="4">
      <alignment horizontal="center" vertical="center" wrapText="1"/>
    </xf>
    <xf numFmtId="0" applyNumberFormat="1" fontId="39" applyFont="1" fillId="0" applyFill="1" borderId="15" applyBorder="1" xfId="4"/>
    <xf numFmtId="0" applyNumberFormat="1" fontId="39" applyFont="1" fillId="0" applyFill="1" borderId="28" applyBorder="1" xfId="4"/>
    <xf numFmtId="0" applyNumberFormat="1" fontId="39" applyFont="1" fillId="0" applyFill="1" borderId="20" applyBorder="1" xfId="4"/>
    <xf numFmtId="0" applyNumberFormat="1" fontId="39" applyFont="1" fillId="0" applyFill="1" borderId="26" applyBorder="1" xfId="4"/>
    <xf numFmtId="2" applyNumberFormat="1" fontId="10" applyFont="1" fillId="8" applyFill="1" borderId="2" applyBorder="1" xfId="4">
      <alignment horizontal="center"/>
    </xf>
    <xf numFmtId="0" applyNumberFormat="1" fontId="16" applyFont="1" fillId="8" applyFill="1" borderId="35" applyBorder="1" xfId="4">
      <alignment horizontal="center" vertical="center" wrapText="1"/>
    </xf>
    <xf numFmtId="0" applyNumberFormat="1" fontId="16" applyFont="1" fillId="8" applyFill="1" borderId="32" applyBorder="1" xfId="4">
      <alignment horizontal="center" vertical="center" wrapText="1"/>
    </xf>
    <xf numFmtId="0" applyNumberFormat="1" fontId="16" applyFont="1" fillId="8" applyFill="1" borderId="33" applyBorder="1" xfId="4">
      <alignment horizontal="center" vertical="center" wrapText="1"/>
    </xf>
    <xf numFmtId="3" applyNumberFormat="1" fontId="10" applyFont="1" fillId="8" applyFill="1" borderId="35" applyBorder="1" xfId="4">
      <alignment horizontal="right" vertical="center"/>
    </xf>
    <xf numFmtId="169" applyNumberFormat="1" fontId="10" applyFont="1" fillId="8" applyFill="1" borderId="35" applyBorder="1" xfId="4">
      <alignment horizontal="right" vertical="center"/>
    </xf>
    <xf numFmtId="166" applyNumberFormat="1" fontId="10" applyFont="1" fillId="8" applyFill="1" borderId="35" applyBorder="1" xfId="4">
      <alignment horizontal="right" vertical="center"/>
    </xf>
    <xf numFmtId="9" applyNumberFormat="1" fontId="10" applyFont="1" fillId="8" applyFill="1" borderId="35" applyBorder="1" xfId="4">
      <alignment horizontal="right" vertical="center"/>
    </xf>
    <xf numFmtId="0" applyNumberFormat="1" fontId="29" applyFont="1" fillId="2" applyFill="1" borderId="0" applyBorder="1" xfId="0"/>
    <xf numFmtId="0" applyNumberFormat="1" fontId="44" applyFont="1" fillId="2" applyFill="1" borderId="0" applyBorder="1" xfId="0">
      <alignment horizontal="center" vertical="center" wrapText="1"/>
    </xf>
    <xf numFmtId="0" applyNumberFormat="1" fontId="43" applyFont="1" fillId="2" applyFill="1" borderId="0" applyBorder="1" xfId="0">
      <alignment vertical="center"/>
    </xf>
    <xf numFmtId="0" applyNumberFormat="1" fontId="28" applyFont="1" fillId="0" applyFill="1" borderId="0" applyBorder="1" xfId="0"/>
    <xf numFmtId="0" applyNumberFormat="1" fontId="17" applyFont="1" fillId="5" applyFill="1" borderId="29" applyBorder="1" xfId="4"/>
    <xf numFmtId="0" applyNumberFormat="1" fontId="17" applyFont="1" fillId="5" applyFill="1" borderId="31" applyBorder="1" xfId="4"/>
    <xf numFmtId="0" applyNumberFormat="1" fontId="15" applyFont="1" fillId="0" applyFill="1" borderId="0" applyBorder="1" xfId="0">
      <alignment horizontal="center" vertical="center"/>
    </xf>
    <xf numFmtId="0" applyNumberFormat="1" fontId="11" applyFont="1" fillId="8" applyFill="1" borderId="35" applyBorder="1" xfId="4"/>
    <xf numFmtId="0" applyNumberFormat="1" fontId="10" applyFont="1" fillId="8" applyFill="1" borderId="35" applyBorder="1" xfId="4"/>
    <xf numFmtId="0" applyNumberFormat="1" fontId="3" applyFont="1" fillId="0" applyFill="1" borderId="9" applyBorder="1" xfId="4"/>
    <xf numFmtId="0" applyNumberFormat="1" fontId="9" applyFont="1" fillId="0" applyFill="1" borderId="9" applyBorder="1" xfId="4"/>
    <xf numFmtId="0" applyNumberFormat="1" fontId="0" applyFont="1" fillId="7" applyFill="1" borderId="0" applyBorder="1" xfId="0">
      <alignment horizontal="center"/>
    </xf>
    <xf numFmtId="0" applyNumberFormat="1" fontId="28" applyFont="1" fillId="7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16" applyFont="1" fillId="8" applyFill="1" borderId="34" applyBorder="1" xfId="4">
      <alignment horizontal="center" vertical="center" wrapText="1"/>
    </xf>
    <xf numFmtId="0" applyNumberFormat="1" fontId="9" applyFont="1" fillId="0" applyFill="1" borderId="20" applyBorder="1" xfId="4">
      <alignment horizontal="center" vertical="center"/>
    </xf>
    <xf numFmtId="0" applyNumberFormat="1" fontId="14" applyFont="1" fillId="8" applyFill="1" borderId="35" applyBorder="1" xfId="4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11" applyFont="1" fillId="8" applyFill="1" borderId="21" applyBorder="1" xfId="4">
      <alignment horizontal="center" vertical="center"/>
    </xf>
    <xf numFmtId="3" applyNumberFormat="1" fontId="11" applyFont="1" fillId="8" applyFill="1" borderId="39" applyBorder="1" xfId="5">
      <alignment horizontal="center"/>
    </xf>
    <xf numFmtId="9" applyNumberFormat="1" fontId="11" applyFont="1" fillId="8" applyFill="1" borderId="19" applyBorder="1" xfId="5">
      <alignment horizontal="center"/>
    </xf>
    <xf numFmtId="0" applyNumberFormat="1" fontId="0" applyFont="1" fillId="7" applyFill="1" borderId="0" applyBorder="1" xfId="0"/>
    <xf numFmtId="0" applyNumberFormat="1" fontId="0" applyFont="1" fillId="6" applyFill="1" borderId="0" applyBorder="1" xfId="0"/>
    <xf numFmtId="3" applyNumberFormat="1" fontId="11" applyFont="1" fillId="8" applyFill="1" borderId="40" applyBorder="1" xfId="5">
      <alignment horizontal="center"/>
    </xf>
    <xf numFmtId="0" applyNumberFormat="1" fontId="47" applyFont="1" fillId="0" applyFill="1" borderId="0" applyBorder="1" xfId="0"/>
    <xf numFmtId="0" applyNumberFormat="1" fontId="48" applyFont="1" fillId="0" applyFill="1" borderId="0" applyBorder="1" xfId="4"/>
    <xf numFmtId="170" applyNumberFormat="1" fontId="10" applyFont="1" fillId="8" applyFill="1" borderId="35" applyBorder="1" xfId="4">
      <alignment horizontal="center" vertical="center"/>
    </xf>
    <xf numFmtId="0" applyNumberFormat="1" fontId="49" applyFont="1" fillId="0" applyFill="1" borderId="0" applyBorder="1" xfId="5"/>
    <xf numFmtId="14" applyNumberFormat="1" fontId="0" applyFont="1" fillId="0" applyFill="1" borderId="0" applyBorder="1" xfId="0"/>
    <xf numFmtId="0" applyNumberFormat="1" fontId="16" applyFont="1" fillId="8" applyFill="1" borderId="31" applyBorder="1" xfId="4">
      <alignment horizontal="center" vertical="center" wrapText="1"/>
    </xf>
    <xf numFmtId="0" applyNumberFormat="1" fontId="0" applyFont="1" fillId="0" applyFill="1" borderId="43" applyBorder="1" xfId="0"/>
    <xf numFmtId="0" applyNumberFormat="1" fontId="0" applyFont="1" fillId="0" applyFill="1" borderId="44" applyBorder="1" xfId="0"/>
    <xf numFmtId="0" applyNumberFormat="1" fontId="0" applyFont="1" fillId="0" applyFill="1" borderId="45" applyBorder="1" xfId="0"/>
    <xf numFmtId="0" applyNumberFormat="1" fontId="0" applyFont="1" fillId="0" applyFill="1" borderId="46" applyBorder="1" xfId="0"/>
    <xf numFmtId="171" applyNumberFormat="1" fontId="0" applyFont="1" fillId="0" applyFill="1" borderId="0" applyBorder="1" xfId="3"/>
    <xf numFmtId="0" applyNumberFormat="1" fontId="0" applyFont="1" fillId="0" applyFill="1" borderId="47" applyBorder="1" xfId="0"/>
    <xf numFmtId="171" applyNumberFormat="1" fontId="0" applyFont="1" fillId="0" applyFill="1" borderId="48" applyBorder="1" xfId="3"/>
    <xf numFmtId="171" applyNumberFormat="1" fontId="0" applyFont="1" fillId="0" applyFill="1" borderId="46" applyBorder="1" xfId="3"/>
    <xf numFmtId="171" applyNumberFormat="1" fontId="0" applyFont="1" fillId="0" applyFill="1" borderId="49" applyBorder="1" xfId="3"/>
    <xf numFmtId="0" applyNumberFormat="1" fontId="52" applyFont="1" fillId="0" applyFill="1" borderId="0" applyBorder="1" xfId="0">
      <alignment horizontal="left"/>
    </xf>
    <xf numFmtId="0" applyNumberFormat="1" fontId="50" applyFont="1" fillId="0" applyFill="1" borderId="42" applyBorder="1" xfId="0"/>
    <xf numFmtId="0" applyNumberFormat="1" fontId="17" applyFont="1" fillId="0" applyFill="1" borderId="35" applyBorder="1" xfId="4">
      <alignment horizontal="center"/>
    </xf>
    <xf numFmtId="0" applyNumberFormat="1" fontId="14" applyFont="1" fillId="8" applyFill="1" borderId="33" applyBorder="1" xfId="4" quotePrefix="1">
      <alignment horizontal="center" vertical="center" wrapText="1"/>
    </xf>
    <xf numFmtId="0" applyNumberFormat="1" fontId="17" applyFont="1" fillId="2" applyFill="1" borderId="29" applyBorder="1" xfId="4"/>
    <xf numFmtId="0" applyNumberFormat="1" fontId="17" applyFont="1" fillId="2" applyFill="1" borderId="31" applyBorder="1" xfId="4"/>
    <xf numFmtId="168" applyNumberFormat="1" fontId="17" applyFont="1" fillId="2" applyFill="1" borderId="35" applyBorder="1" xfId="1">
      <alignment horizontal="right" vertical="center"/>
    </xf>
    <xf numFmtId="169" applyNumberFormat="1" fontId="17" applyFont="1" fillId="2" applyFill="1" borderId="35" applyBorder="1" xfId="1">
      <alignment horizontal="right" vertical="center"/>
    </xf>
    <xf numFmtId="166" applyNumberFormat="1" fontId="17" applyFont="1" fillId="2" applyFill="1" borderId="35" applyBorder="1" xfId="4">
      <alignment horizontal="right" vertical="center"/>
    </xf>
    <xf numFmtId="9" applyNumberFormat="1" fontId="17" applyFont="1" fillId="2" applyFill="1" borderId="35" applyBorder="1" xfId="4">
      <alignment horizontal="right" vertical="center"/>
    </xf>
    <xf numFmtId="0" applyNumberFormat="1" fontId="15" applyFont="1" fillId="2" applyFill="1" borderId="0" applyBorder="1" xfId="0">
      <alignment horizontal="center" vertical="center"/>
    </xf>
    <xf numFmtId="0" applyNumberFormat="1" fontId="22" applyFont="1" fillId="0" applyFill="1" borderId="0" applyBorder="1" xfId="0"/>
    <xf numFmtId="0" applyNumberFormat="1" fontId="23" applyFont="1" fillId="0" applyFill="1" borderId="6" applyBorder="1" xfId="0"/>
    <xf numFmtId="0" applyNumberFormat="1" fontId="23" applyFont="1" fillId="0" applyFill="1" borderId="0" applyBorder="1" xfId="0"/>
    <xf numFmtId="0" applyNumberFormat="1" fontId="9" applyFont="1" fillId="0" applyFill="1" borderId="0" applyBorder="1" xfId="5">
      <alignment horizontal="center"/>
    </xf>
    <xf numFmtId="0" applyNumberFormat="1" fontId="20" applyFont="1" fillId="0" applyFill="1" borderId="0" applyBorder="1" xfId="0"/>
    <xf numFmtId="0" applyNumberFormat="1" fontId="21" applyFont="1" fillId="0" applyFill="1" borderId="6" applyBorder="1" xfId="0"/>
    <xf numFmtId="0" applyNumberFormat="1" fontId="9" applyFont="1" fillId="0" applyFill="1" borderId="0" applyBorder="1" xfId="5"/>
    <xf numFmtId="0" applyNumberFormat="1" fontId="11" applyFont="1" fillId="8" applyFill="1" borderId="41" applyBorder="1" xfId="5">
      <alignment horizontal="center" vertical="center" wrapText="1"/>
    </xf>
    <xf numFmtId="0" applyNumberFormat="1" fontId="21" applyFont="1" fillId="0" applyFill="1" borderId="0" applyBorder="1" xfId="0"/>
    <xf numFmtId="167" applyNumberFormat="1" fontId="21" applyFont="1" fillId="0" applyFill="1" borderId="0" applyBorder="1" xfId="0"/>
    <xf numFmtId="0" applyNumberFormat="1" fontId="21" applyFont="1" fillId="2" applyFill="1" borderId="0" applyBorder="1" xfId="0"/>
    <xf numFmtId="0" applyNumberFormat="1" fontId="24" applyFont="1" fillId="2" applyFill="1" borderId="0" applyBorder="1" xfId="5">
      <alignment horizontal="center" vertical="center" wrapText="1"/>
    </xf>
    <xf numFmtId="0" applyNumberFormat="1" fontId="12" applyFont="1" fillId="0" applyFill="1" borderId="15" applyBorder="1" xfId="5"/>
    <xf numFmtId="3" applyNumberFormat="1" fontId="9" applyFont="1" fillId="0" applyFill="1" borderId="16" applyBorder="1" xfId="5">
      <alignment horizontal="center"/>
    </xf>
    <xf numFmtId="9" applyNumberFormat="1" fontId="9" applyFont="1" fillId="0" applyFill="1" borderId="17" applyBorder="1" xfId="9">
      <alignment horizontal="center"/>
    </xf>
    <xf numFmtId="0" applyNumberFormat="1" fontId="9" applyFont="1" fillId="0" applyFill="1" borderId="37" applyBorder="1" xfId="5"/>
    <xf numFmtId="3" applyNumberFormat="1" fontId="9" applyFont="1" fillId="0" applyFill="1" borderId="36" applyBorder="1" xfId="5">
      <alignment horizontal="center"/>
    </xf>
    <xf numFmtId="9" applyNumberFormat="1" fontId="9" applyFont="1" fillId="0" applyFill="1" borderId="38" applyBorder="1" xfId="9">
      <alignment horizontal="center"/>
    </xf>
    <xf numFmtId="0" applyNumberFormat="1" fontId="11" applyFont="1" fillId="8" applyFill="1" borderId="2" applyBorder="1" xfId="5">
      <alignment horizontal="left" vertical="center"/>
    </xf>
    <xf numFmtId="0" applyNumberFormat="1" fontId="50" applyFont="1" fillId="7" applyFill="1" borderId="0" applyBorder="1" xfId="0"/>
    <xf numFmtId="0" applyNumberFormat="1" fontId="50" applyFont="1" fillId="0" applyFill="1" borderId="0" applyBorder="1" xfId="0"/>
    <xf numFmtId="0" applyNumberFormat="1" fontId="54" applyFont="1" fillId="0" applyFill="1" borderId="0" applyBorder="1" xfId="8">
      <alignment horizontal="left" vertical="center"/>
    </xf>
    <xf numFmtId="172" applyNumberFormat="1" fontId="55" applyFont="1" fillId="0" applyFill="1" borderId="0" applyBorder="1" xfId="4">
      <alignment horizontal="center" vertical="center" wrapText="1"/>
    </xf>
    <xf numFmtId="0" applyNumberFormat="1" fontId="18" applyFont="1" fillId="0" applyFill="1" borderId="0" applyBorder="1" xfId="0">
      <alignment horizontal="center"/>
    </xf>
    <xf numFmtId="9" applyNumberFormat="1" fontId="0" applyFont="1" fillId="0" applyFill="1" borderId="0" applyBorder="1" xfId="0"/>
    <xf numFmtId="0" applyNumberFormat="1" fontId="13" applyFont="1" fillId="2" applyFill="1" borderId="0" applyBorder="1" xfId="4"/>
    <xf numFmtId="168" applyNumberFormat="1" fontId="10" applyFont="1" fillId="8" applyFill="1" borderId="35" applyBorder="1" xfId="4">
      <alignment horizontal="right" vertical="center"/>
    </xf>
    <xf numFmtId="0" applyNumberFormat="1" fontId="9" applyFont="1" fillId="0" applyFill="1" borderId="0" applyBorder="1" xfId="4">
      <alignment horizontal="center"/>
    </xf>
    <xf numFmtId="172" applyNumberFormat="1" fontId="17" applyFont="1" fillId="5" applyFill="1" borderId="35" applyBorder="1" xfId="4">
      <alignment horizontal="right" vertical="center"/>
    </xf>
    <xf numFmtId="10" applyNumberFormat="1" fontId="13" applyFont="1" fillId="5" applyFill="1" borderId="35" applyBorder="1" xfId="4">
      <alignment horizontal="right" vertical="center"/>
    </xf>
    <xf numFmtId="172" applyNumberFormat="1" fontId="17" applyFont="1" fillId="2" applyFill="1" borderId="35" applyBorder="1" xfId="4">
      <alignment horizontal="right" vertical="center"/>
    </xf>
    <xf numFmtId="10" applyNumberFormat="1" fontId="13" applyFont="1" fillId="2" applyFill="1" borderId="35" applyBorder="1" xfId="4">
      <alignment horizontal="right" vertical="center"/>
    </xf>
    <xf numFmtId="174" applyNumberFormat="1" fontId="10" applyFont="1" fillId="8" applyFill="1" borderId="35" applyBorder="1" xfId="4">
      <alignment horizontal="right" vertical="center"/>
    </xf>
    <xf numFmtId="10" applyNumberFormat="1" fontId="10" applyFont="1" fillId="8" applyFill="1" borderId="35" applyBorder="1" xfId="4">
      <alignment horizontal="right" vertical="center"/>
    </xf>
    <xf numFmtId="172" applyNumberFormat="1" fontId="3" applyFont="1" fillId="0" applyFill="1" borderId="0" applyBorder="1" xfId="4"/>
    <xf numFmtId="9" applyNumberFormat="1" fontId="5" applyFont="1" fillId="0" applyFill="1" borderId="2" applyBorder="1" xfId="9">
      <alignment horizontal="center" vertical="center"/>
    </xf>
    <xf numFmtId="9" applyNumberFormat="1" fontId="4" applyFont="1" fillId="2" applyFill="1" borderId="0" applyBorder="1" xfId="7"/>
    <xf numFmtId="173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28" applyFont="1" fillId="0" applyFill="1" borderId="0" applyBorder="1" xfId="0">
      <alignment horizontal="center"/>
    </xf>
    <xf numFmtId="0" applyNumberFormat="1" fontId="4" applyFont="1" fillId="0" applyFill="1" borderId="0" applyBorder="1" xfId="7"/>
    <xf numFmtId="166" applyNumberFormat="1" fontId="4" applyFont="1" fillId="0" applyFill="1" borderId="0" applyBorder="1" xfId="7"/>
    <xf numFmtId="166" applyNumberFormat="1" fontId="4" applyFont="1" fillId="0" applyFill="1" borderId="0" applyBorder="1" xfId="7">
      <alignment horizontal="center"/>
    </xf>
    <xf numFmtId="0" applyNumberFormat="1" fontId="6" applyFont="1" fillId="0" applyFill="1" borderId="0" applyBorder="1" xfId="7">
      <alignment vertical="center"/>
    </xf>
    <xf numFmtId="9" applyNumberFormat="1" fontId="6" applyFont="1" fillId="0" applyFill="1" borderId="0" applyBorder="1" xfId="9">
      <alignment horizontal="center" vertical="center" wrapText="1"/>
    </xf>
    <xf numFmtId="0" applyNumberFormat="1" fontId="6" applyFont="1" fillId="0" applyFill="1" borderId="0" applyBorder="1" xfId="4">
      <alignment horizontal="center" vertical="center"/>
    </xf>
    <xf numFmtId="0" applyNumberFormat="1" fontId="11" applyFont="1" fillId="8" applyFill="1" borderId="26" applyBorder="1" xfId="4">
      <alignment horizontal="center" vertical="center" wrapText="1"/>
    </xf>
    <xf numFmtId="0" applyNumberFormat="1" fontId="11" applyFont="1" fillId="0" applyFill="1" borderId="0" applyBorder="1" xfId="4">
      <alignment horizontal="center" vertical="center" wrapText="1"/>
    </xf>
    <xf numFmtId="9" applyNumberFormat="1" fontId="9" applyFont="1" fillId="0" applyFill="1" borderId="0" applyBorder="1" xfId="9">
      <alignment horizontal="center"/>
    </xf>
    <xf numFmtId="0" applyNumberFormat="1" fontId="10" applyFont="1" fillId="0" applyFill="1" borderId="0" applyBorder="1" xfId="4">
      <alignment horizontal="center" vertical="center"/>
    </xf>
    <xf numFmtId="3" applyNumberFormat="1" fontId="9" applyFont="1" fillId="0" applyFill="1" borderId="52" applyBorder="1" xfId="4">
      <alignment horizontal="center" vertical="center"/>
    </xf>
    <xf numFmtId="3" applyNumberFormat="1" fontId="9" applyFont="1" fillId="0" applyFill="1" borderId="53" applyBorder="1" xfId="4">
      <alignment horizontal="center" vertical="center"/>
    </xf>
    <xf numFmtId="3" applyNumberFormat="1" fontId="11" applyFont="1" fillId="8" applyFill="1" borderId="51" applyBorder="1" xfId="4">
      <alignment horizontal="center" vertical="center"/>
    </xf>
    <xf numFmtId="0" applyNumberFormat="1" fontId="11" applyFont="1" fillId="8" applyFill="1" borderId="54" applyBorder="1" xfId="4">
      <alignment horizontal="center" vertical="center" wrapText="1"/>
    </xf>
    <xf numFmtId="1" applyNumberFormat="1" fontId="18" applyFont="1" fillId="0" applyFill="1" borderId="0" applyBorder="1" xfId="0"/>
    <xf numFmtId="1" applyNumberFormat="1" fontId="56" applyFont="1" fillId="0" applyFill="1" borderId="0" applyBorder="1" xfId="0"/>
    <xf numFmtId="1" applyNumberFormat="1" fontId="57" applyFont="1" fillId="2" applyFill="1" borderId="0" applyBorder="1" xfId="0"/>
    <xf numFmtId="1" applyNumberFormat="1" fontId="57" applyFont="1" fillId="0" applyFill="1" borderId="0" applyBorder="1" xfId="0"/>
    <xf numFmtId="0" applyNumberFormat="1" fontId="45" applyFont="1" fillId="8" applyFill="1" borderId="40" applyBorder="1" xfId="0">
      <alignment horizontal="center" vertical="center"/>
    </xf>
    <xf numFmtId="1" applyNumberFormat="1" fontId="9" applyFont="1" fillId="0" applyFill="1" borderId="55" applyBorder="1" xfId="4">
      <alignment horizontal="center" vertical="center"/>
    </xf>
    <xf numFmtId="1" applyNumberFormat="1" fontId="9" applyFont="1" fillId="0" applyFill="1" borderId="56" applyBorder="1" xfId="4">
      <alignment horizontal="center" vertical="center"/>
    </xf>
    <xf numFmtId="1" applyNumberFormat="1" fontId="11" applyFont="1" fillId="8" applyFill="1" borderId="57" applyBorder="1" xfId="4">
      <alignment horizontal="center" vertical="center"/>
    </xf>
    <xf numFmtId="8" applyNumberFormat="1" fontId="28" applyFont="1" fillId="0" applyFill="1" borderId="0" applyBorder="1" xfId="0">
      <alignment horizontal="center"/>
    </xf>
    <xf numFmtId="10" applyNumberFormat="1" fontId="28" applyFont="1" fillId="0" applyFill="1" borderId="0" applyBorder="1" xfId="0">
      <alignment horizontal="center"/>
    </xf>
    <xf numFmtId="10" applyNumberFormat="1" fontId="2" applyFont="1" fillId="0" applyFill="1" borderId="0" applyBorder="1" xfId="0">
      <alignment horizontal="center" vertical="center"/>
    </xf>
    <xf numFmtId="0" applyNumberFormat="1" fontId="46" applyFont="1" fillId="0" applyFill="1" borderId="0" applyBorder="1" xfId="0">
      <alignment horizontal="left" vertical="center" wrapText="1"/>
    </xf>
    <xf numFmtId="0" applyNumberFormat="1" fontId="40" applyFont="1" fillId="0" applyFill="1" borderId="0" applyBorder="1" xfId="8">
      <alignment horizontal="left" vertical="center" wrapText="1"/>
    </xf>
    <xf numFmtId="0" applyNumberFormat="1" fontId="53" applyFont="1" fillId="8" applyFill="1" borderId="50" applyBorder="1" xfId="0">
      <alignment horizontal="center"/>
    </xf>
    <xf numFmtId="0" applyNumberFormat="1" fontId="58" applyFont="1" fillId="9" applyFill="1" borderId="0" applyBorder="1" xfId="0">
      <alignment horizontal="center"/>
    </xf>
    <xf numFmtId="1" applyNumberFormat="1" fontId="40" applyFont="1" fillId="0" applyFill="1" borderId="11" applyBorder="1" xfId="7">
      <alignment horizontal="left" vertical="center" wrapText="1"/>
    </xf>
    <xf numFmtId="1" applyNumberFormat="1" fontId="40" applyFont="1" fillId="0" applyFill="1" borderId="12" applyBorder="1" xfId="7">
      <alignment horizontal="left" vertical="center" wrapText="1"/>
    </xf>
    <xf numFmtId="1" applyNumberFormat="1" fontId="40" applyFont="1" fillId="0" applyFill="1" borderId="13" applyBorder="1" xfId="7">
      <alignment horizontal="left" vertical="center" wrapText="1"/>
    </xf>
    <xf numFmtId="0" applyNumberFormat="1" fontId="9" applyFont="1" fillId="2" applyFill="1" borderId="0" applyBorder="1" xfId="7">
      <alignment horizontal="left" wrapText="1"/>
    </xf>
    <xf numFmtId="0" applyNumberFormat="1" fontId="39" applyFont="1" fillId="2" applyFill="1" borderId="0" applyBorder="1" xfId="7">
      <alignment horizontal="left" wrapText="1"/>
    </xf>
    <xf numFmtId="0" applyNumberFormat="1" fontId="12" applyFont="1" fillId="0" applyFill="1" borderId="0" applyBorder="1" xfId="4">
      <alignment horizontal="center" vertical="center"/>
    </xf>
    <xf numFmtId="0" applyNumberFormat="1" fontId="14" applyFont="1" fillId="8" applyFill="1" borderId="29" applyBorder="1" xfId="4">
      <alignment horizontal="center"/>
    </xf>
    <xf numFmtId="0" applyNumberFormat="1" fontId="14" applyFont="1" fillId="8" applyFill="1" borderId="30" applyBorder="1" xfId="4">
      <alignment horizontal="center"/>
    </xf>
    <xf numFmtId="0" applyNumberFormat="1" fontId="14" applyFont="1" fillId="8" applyFill="1" borderId="31" applyBorder="1" xfId="4">
      <alignment horizontal="center"/>
    </xf>
    <xf numFmtId="0" applyNumberFormat="1" fontId="43" applyFont="1" fillId="0" applyFill="1" borderId="0" applyBorder="1" xfId="0">
      <alignment horizontal="center" vertical="center"/>
    </xf>
    <xf numFmtId="0" applyNumberFormat="1" fontId="43" applyFont="1" fillId="2" applyFill="1" borderId="0" applyBorder="1" xfId="0">
      <alignment horizontal="center" vertical="center"/>
    </xf>
    <xf numFmtId="1" applyNumberFormat="1" fontId="40" applyFont="1" fillId="0" applyFill="1" borderId="29" applyBorder="1" xfId="7">
      <alignment horizontal="left" vertical="center" wrapText="1"/>
    </xf>
    <xf numFmtId="1" applyNumberFormat="1" fontId="40" applyFont="1" fillId="0" applyFill="1" borderId="30" applyBorder="1" xfId="7">
      <alignment horizontal="left" vertical="center" wrapText="1"/>
    </xf>
    <xf numFmtId="1" applyNumberFormat="1" fontId="40" applyFont="1" fillId="0" applyFill="1" borderId="31" applyBorder="1" xfId="7">
      <alignment horizontal="left" vertical="center" wrapText="1"/>
    </xf>
    <xf numFmtId="1" applyNumberFormat="1" fontId="51" applyFont="1" fillId="0" applyFill="1" borderId="11" applyBorder="1" xfId="7">
      <alignment horizontal="left" vertical="center" wrapText="1"/>
    </xf>
    <xf numFmtId="1" applyNumberFormat="1" fontId="51" applyFont="1" fillId="0" applyFill="1" borderId="12" applyBorder="1" xfId="7">
      <alignment horizontal="left" vertical="center" wrapText="1"/>
    </xf>
    <xf numFmtId="1" applyNumberFormat="1" fontId="51" applyFont="1" fillId="0" applyFill="1" borderId="13" applyBorder="1" xfId="7">
      <alignment horizontal="left" vertical="center" wrapText="1"/>
    </xf>
    <xf numFmtId="0" applyNumberFormat="1" fontId="59" applyFont="1" fillId="7" applyFill="1" borderId="0" applyBorder="1" xfId="0"/>
  </cellXfs>
  <cellStyles count="12">
    <cellStyle name="Comma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  <cellStyle name="Pourcentage 2 2" xfId="11"/>
  </cellStyles>
  <dxfs count="0"/>
  <tableStyles count="0" defaultTableStyle="TableStyleMedium2" defaultPivotStyle="PivotStyleLight16"/>
  <colors>
    <mruColors>
      <color rgb="FFFF9933"/>
      <color rgb="FF006666"/>
      <color rgb="FF008080"/>
      <color rgb="FF3366CC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7</c:v>
                </c:pt>
                <c:pt idx="7">
                  <c:v>4</c:v>
                </c:pt>
                <c:pt idx="8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667861088"/>
        <c:axId val="667861632"/>
      </c:barChart>
      <c:catAx>
        <c:axId val="667861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667861632"/>
        <c:crosses val="autoZero"/>
        <c:auto val="1"/>
        <c:lblAlgn val="ctr"/>
        <c:lblOffset val="100"/>
        <c:noMultiLvlLbl val="0"/>
      </c:catAx>
      <c:valAx>
        <c:axId val="6678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786108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2022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#,##0</c:formatCode>
                <c:ptCount val="2"/>
                <c:pt idx="0">
                  <c:v>2</c:v>
                </c:pt>
                <c:pt idx="1">
                  <c:v>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 xmlns:c16r2="http://schemas.microsoft.com/office/drawing/2015/06/chart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 2022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20CB-48EC-A596-19BBE713ABD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20CB-48EC-A596-19BBE713ABDB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33</c:v>
                </c:pt>
                <c:pt idx="1">
                  <c:v>10</c:v>
                </c:pt>
                <c:pt idx="2">
                  <c:v>30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B9B-4785-94E6-4D17AC42C048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5B9B-4785-94E6-4D17AC42C048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Graph'!$F$67:$F$71</c:f>
              <c:numCache>
                <c:formatCode>General</c:formatCode>
                <c:ptCount val="5"/>
                <c:pt idx="0">
                  <c:v>9606.92</c:v>
                </c:pt>
                <c:pt idx="1">
                  <c:v>2492.61</c:v>
                </c:pt>
                <c:pt idx="2">
                  <c:v>9997.58</c:v>
                </c:pt>
                <c:pt idx="3">
                  <c:v>1574</c:v>
                </c:pt>
                <c:pt idx="4">
                  <c:v>16855.279999999981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3366CC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Graph'!$I$67:$I$71</c:f>
              <c:numCache>
                <c:formatCode>General</c:formatCode>
                <c:ptCount val="5"/>
                <c:pt idx="0">
                  <c:v>3820.44</c:v>
                </c:pt>
                <c:pt idx="1">
                  <c:v>2466.0500000000002</c:v>
                </c:pt>
                <c:pt idx="2">
                  <c:v>1.95</c:v>
                </c:pt>
                <c:pt idx="3">
                  <c:v>0</c:v>
                </c:pt>
                <c:pt idx="4">
                  <c:v>20534.21000000001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Graph'!$J$67:$J$71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Graph'!$K$67:$K$71</c:f>
              <c:numCache>
                <c:formatCode>General</c:formatCode>
                <c:ptCount val="5"/>
                <c:pt idx="0">
                  <c:v>9606.92</c:v>
                </c:pt>
                <c:pt idx="1">
                  <c:v>2492.61</c:v>
                </c:pt>
                <c:pt idx="2">
                  <c:v>9997.58</c:v>
                </c:pt>
                <c:pt idx="3">
                  <c:v>1574</c:v>
                </c:pt>
                <c:pt idx="4">
                  <c:v>16855.279999999981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Graph'!$L$67:$L$71</c:f>
              <c:numCache>
                <c:formatCode>General</c:formatCode>
                <c:ptCount val="5"/>
                <c:pt idx="0">
                  <c:v>2463.9399999999987</c:v>
                </c:pt>
                <c:pt idx="1">
                  <c:v>1974.0499999999997</c:v>
                </c:pt>
                <c:pt idx="2">
                  <c:v>1903.7499999999982</c:v>
                </c:pt>
                <c:pt idx="3">
                  <c:v>879</c:v>
                </c:pt>
                <c:pt idx="4">
                  <c:v>5778.4100000000763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862176"/>
        <c:axId val="667862720"/>
      </c:barChart>
      <c:catAx>
        <c:axId val="667862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667862720"/>
        <c:crosses val="autoZero"/>
        <c:auto val="1"/>
        <c:lblAlgn val="ctr"/>
        <c:lblOffset val="100"/>
        <c:noMultiLvlLbl val="0"/>
      </c:catAx>
      <c:valAx>
        <c:axId val="66786272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786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Graph'!$M$67:$M$71</c:f>
              <c:numCache>
                <c:formatCode>General</c:formatCode>
                <c:ptCount val="5"/>
                <c:pt idx="0">
                  <c:v>74.47224806201551</c:v>
                </c:pt>
                <c:pt idx="1">
                  <c:v>75.533636363636361</c:v>
                </c:pt>
                <c:pt idx="2">
                  <c:v>140.81098591549295</c:v>
                </c:pt>
                <c:pt idx="3">
                  <c:v>37.476190476190474</c:v>
                </c:pt>
                <c:pt idx="4">
                  <c:v>7.468001772264059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Graph'!$N$67:$N$71</c:f>
              <c:numCache>
                <c:formatCode>General</c:formatCode>
                <c:ptCount val="5"/>
                <c:pt idx="0">
                  <c:v>79.457567238156898</c:v>
                </c:pt>
                <c:pt idx="1">
                  <c:v>58.382425157923635</c:v>
                </c:pt>
                <c:pt idx="2">
                  <c:v>128.41015674850908</c:v>
                </c:pt>
                <c:pt idx="3">
                  <c:v>40.888151311775466</c:v>
                </c:pt>
                <c:pt idx="4">
                  <c:v>4.6795199488126045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7863264"/>
        <c:axId val="667863808"/>
      </c:barChart>
      <c:catAx>
        <c:axId val="66786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7863808"/>
        <c:crosses val="autoZero"/>
        <c:auto val="1"/>
        <c:lblAlgn val="ctr"/>
        <c:lblOffset val="100"/>
        <c:noMultiLvlLbl val="0"/>
      </c:catAx>
      <c:valAx>
        <c:axId val="66786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786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70AF-473A-B5F0-26F85E81E3EE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70AF-473A-B5F0-26F85E81E3EE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Graph'!$G$67:$G$71</c:f>
              <c:numCache>
                <c:formatCode>General</c:formatCode>
                <c:ptCount val="5"/>
                <c:pt idx="0">
                  <c:v>1955768.559999994</c:v>
                </c:pt>
                <c:pt idx="1">
                  <c:v>850281.63999999978</c:v>
                </c:pt>
                <c:pt idx="2">
                  <c:v>1851417.6400000041</c:v>
                </c:pt>
                <c:pt idx="3">
                  <c:v>268062.71999999997</c:v>
                </c:pt>
                <c:pt idx="4">
                  <c:v>3291106.3799999049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#\ ##0\ "€"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062-40FD-9506-FDD58CDEE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105392"/>
        <c:axId val="308101584"/>
      </c:barChart>
      <c:catAx>
        <c:axId val="30810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8101584"/>
        <c:crosses val="autoZero"/>
        <c:auto val="1"/>
        <c:lblAlgn val="ctr"/>
        <c:lblOffset val="100"/>
        <c:noMultiLvlLbl val="0"/>
      </c:catAx>
      <c:valAx>
        <c:axId val="30810158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08105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AUTRE!$D$16:$D$20</c:f>
              <c:strCache>
                <c:ptCount val="5"/>
                <c:pt idx="0">
                  <c:v>CODE TRACEUR SAS</c:v>
                </c:pt>
                <c:pt idx="1">
                  <c:v>DIVERS</c:v>
                </c:pt>
                <c:pt idx="2">
                  <c:v>GROUPE HOMOGENE DE TARIF</c:v>
                </c:pt>
                <c:pt idx="3">
                  <c:v>HORS NOMENCLATURE</c:v>
                </c:pt>
                <c:pt idx="4">
                  <c:v>RÉSEAU ITELIS</c:v>
                </c:pt>
              </c:strCache>
            </c:strRef>
          </c:cat>
          <c:val>
            <c:numRef>
              <c:f>AUTRE!$J$16:$J$20</c:f>
              <c:numCache>
                <c:formatCode>#\ ##0\ "€"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A74-4CC4-AE4B-A93BB71C9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109200"/>
        <c:axId val="308103760"/>
      </c:barChart>
      <c:catAx>
        <c:axId val="308109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8103760"/>
        <c:crosses val="autoZero"/>
        <c:auto val="1"/>
        <c:lblAlgn val="ctr"/>
        <c:lblOffset val="100"/>
        <c:noMultiLvlLbl val="0"/>
      </c:catAx>
      <c:valAx>
        <c:axId val="308103760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08109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57E-4BE8-BDB4-FAC16C323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6144"/>
        <c:axId val="308098864"/>
      </c:barChart>
      <c:catAx>
        <c:axId val="308096144"/>
        <c:scaling>
          <c:orientation val="minMax"/>
        </c:scaling>
        <c:delete val="0"/>
        <c:axPos val="l"/>
        <c:majorTickMark val="out"/>
        <c:minorTickMark val="none"/>
        <c:tickLblPos val="nextTo"/>
        <c:crossAx val="308098864"/>
        <c:crosses val="autoZero"/>
        <c:auto val="1"/>
        <c:lblAlgn val="ctr"/>
        <c:lblOffset val="100"/>
        <c:noMultiLvlLbl val="0"/>
      </c:catAx>
      <c:valAx>
        <c:axId val="30809886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08096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7076.92</c:v>
                </c:pt>
                <c:pt idx="4">
                  <c:v>0</c:v>
                </c:pt>
                <c:pt idx="5">
                  <c:v>2530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907-4C05-BBB7-1669D6B9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105936"/>
        <c:axId val="308108656"/>
      </c:barChart>
      <c:catAx>
        <c:axId val="308105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8108656"/>
        <c:crosses val="autoZero"/>
        <c:auto val="1"/>
        <c:lblAlgn val="ctr"/>
        <c:lblOffset val="100"/>
        <c:noMultiLvlLbl val="0"/>
      </c:catAx>
      <c:valAx>
        <c:axId val="308108656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08105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HOSPI!$D$16:$D$37</c:f>
              <c:strCache>
                <c:ptCount val="22"/>
                <c:pt idx="0">
                  <c:v>CHAMBRE PARTICULIERE</c:v>
                </c:pt>
                <c:pt idx="1">
                  <c:v>CHAMBRE PARTICULIERE CHIRURGIE</c:v>
                </c:pt>
                <c:pt idx="2">
                  <c:v>CONSULTATION CCMU 3 D'URGENCE</c:v>
                </c:pt>
                <c:pt idx="3">
                  <c:v>FORFAIT D'ENTRÉE</c:v>
                </c:pt>
                <c:pt idx="4">
                  <c:v>FORFAIT JOURNALIER</c:v>
                </c:pt>
                <c:pt idx="5">
                  <c:v>FRAIS SEJOUR</c:v>
                </c:pt>
                <c:pt idx="6">
                  <c:v>FRAIS TRANSPORT</c:v>
                </c:pt>
                <c:pt idx="7">
                  <c:v>HONOR. DISPENS. GRAND CONDIT. NIV.4</c:v>
                </c:pt>
                <c:pt idx="8">
                  <c:v>HONORAIRE / FRAIS SEJOUR</c:v>
                </c:pt>
                <c:pt idx="9">
                  <c:v>HONORAIRES</c:v>
                </c:pt>
                <c:pt idx="10">
                  <c:v>HONORAIRES LIES A L'ACCOUCHEMENT</c:v>
                </c:pt>
                <c:pt idx="11">
                  <c:v>HOSPITALISATION</c:v>
                </c:pt>
                <c:pt idx="12">
                  <c:v>IND HÉBERGT + VOYAGE NR</c:v>
                </c:pt>
                <c:pt idx="13">
                  <c:v>INDEMNITE DE NAISSANCE</c:v>
                </c:pt>
                <c:pt idx="14">
                  <c:v>INTERVENTION DURANT GARDE AMBULANCE</c:v>
                </c:pt>
                <c:pt idx="15">
                  <c:v>INTERVENTION HORS GARDE AMBULANCE</c:v>
                </c:pt>
                <c:pt idx="16">
                  <c:v>LIT ACCOMPAGNANT</c:v>
                </c:pt>
                <c:pt idx="17">
                  <c:v>MAJO. SUITE HOSPITALISATION</c:v>
                </c:pt>
                <c:pt idx="18">
                  <c:v>MAJORATION PMSI</c:v>
                </c:pt>
                <c:pt idx="19">
                  <c:v>NOUVEAU FORFAIT ENFANT</c:v>
                </c:pt>
                <c:pt idx="20">
                  <c:v>PARTICIPATION ASSURE HOSPITALISATIO</c:v>
                </c:pt>
                <c:pt idx="21">
                  <c:v>TM RELATIF AUX FRAIS DE SÉJOUR</c:v>
                </c:pt>
              </c:strCache>
            </c:strRef>
          </c:cat>
          <c:val>
            <c:numRef>
              <c:f>HOSPI!$J$16:$J$37</c:f>
              <c:numCache>
                <c:formatCode>#\ ##0\ "€"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</c:v>
                </c:pt>
                <c:pt idx="5">
                  <c:v>72</c:v>
                </c:pt>
                <c:pt idx="6">
                  <c:v>30.04</c:v>
                </c:pt>
                <c:pt idx="7">
                  <c:v>0</c:v>
                </c:pt>
                <c:pt idx="8">
                  <c:v>0</c:v>
                </c:pt>
                <c:pt idx="9">
                  <c:v>2252.13</c:v>
                </c:pt>
                <c:pt idx="10">
                  <c:v>0</c:v>
                </c:pt>
                <c:pt idx="11">
                  <c:v>78.44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AD4-4FE7-99FF-2204B1EE2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7232"/>
        <c:axId val="308104304"/>
      </c:barChart>
      <c:catAx>
        <c:axId val="3080972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8104304"/>
        <c:crosses val="autoZero"/>
        <c:auto val="1"/>
        <c:lblAlgn val="ctr"/>
        <c:lblOffset val="100"/>
        <c:noMultiLvlLbl val="0"/>
      </c:catAx>
      <c:valAx>
        <c:axId val="30810430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08097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85-4154-99EE-1E7854D3C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7776"/>
        <c:axId val="308109744"/>
      </c:barChart>
      <c:catAx>
        <c:axId val="308097776"/>
        <c:scaling>
          <c:orientation val="minMax"/>
        </c:scaling>
        <c:delete val="0"/>
        <c:axPos val="l"/>
        <c:majorTickMark val="out"/>
        <c:minorTickMark val="none"/>
        <c:tickLblPos val="nextTo"/>
        <c:crossAx val="308109744"/>
        <c:crosses val="autoZero"/>
        <c:auto val="1"/>
        <c:lblAlgn val="ctr"/>
        <c:lblOffset val="100"/>
        <c:noMultiLvlLbl val="0"/>
      </c:catAx>
      <c:valAx>
        <c:axId val="30810974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08097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OPTIQUE</c:v>
                </c:pt>
                <c:pt idx="9">
                  <c:v>RENOUVELLEMENT D'OPTIQUE</c:v>
                </c:pt>
              </c:strCache>
            </c:strRef>
          </c:cat>
          <c:val>
            <c:numRef>
              <c:f>OPTIQ!$J$16:$J$25</c:f>
              <c:numCache>
                <c:formatCode>#\ ##0\ "€"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729.6</c:v>
                </c:pt>
                <c:pt idx="4">
                  <c:v>0</c:v>
                </c:pt>
                <c:pt idx="5">
                  <c:v>0</c:v>
                </c:pt>
                <c:pt idx="6">
                  <c:v>4509.1499999999996</c:v>
                </c:pt>
                <c:pt idx="7">
                  <c:v>4758.83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AA-4C5E-9C8F-5302B5856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5056"/>
        <c:axId val="308098320"/>
      </c:barChart>
      <c:catAx>
        <c:axId val="3080950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8098320"/>
        <c:crosses val="autoZero"/>
        <c:auto val="1"/>
        <c:lblAlgn val="ctr"/>
        <c:lblOffset val="100"/>
        <c:noMultiLvlLbl val="0"/>
      </c:catAx>
      <c:valAx>
        <c:axId val="308098320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08095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PREVE!$D$16:$D$18</c:f>
              <c:strCache>
                <c:ptCount val="3"/>
                <c:pt idx="0">
                  <c:v>MEDECINE DOUCE</c:v>
                </c:pt>
                <c:pt idx="1">
                  <c:v>VACCINATION GRIPPE PHARMACIEN</c:v>
                </c:pt>
                <c:pt idx="2">
                  <c:v>VACCINS</c:v>
                </c:pt>
              </c:strCache>
            </c:strRef>
          </c:cat>
          <c:val>
            <c:numRef>
              <c:f>PREVE!$J$16:$J$18</c:f>
              <c:numCache>
                <c:formatCode>#\ ##0\ "€"</c:formatCode>
                <c:ptCount val="3"/>
                <c:pt idx="0">
                  <c:v>1574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F79-408D-A798-CE63524B4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106480"/>
        <c:axId val="308107024"/>
      </c:barChart>
      <c:catAx>
        <c:axId val="308106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08107024"/>
        <c:crosses val="autoZero"/>
        <c:auto val="1"/>
        <c:lblAlgn val="ctr"/>
        <c:lblOffset val="100"/>
        <c:noMultiLvlLbl val="0"/>
      </c:catAx>
      <c:valAx>
        <c:axId val="308107024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308106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SOINS!$D$16:$D$38</c:f>
              <c:strCache>
                <c:ptCount val="23"/>
                <c:pt idx="0">
                  <c:v>ACTE D IMAGERIE</c:v>
                </c:pt>
                <c:pt idx="1">
                  <c:v>ACTE DE KINÉSITHÉRAPIE EN ÉTABLISSE</c:v>
                </c:pt>
                <c:pt idx="2">
                  <c:v>ANALYSES</c:v>
                </c:pt>
                <c:pt idx="3">
                  <c:v>APPAREIL D ASSISTANCE RESPIRATOIRE</c:v>
                </c:pt>
                <c:pt idx="4">
                  <c:v>APPAREILLAGE</c:v>
                </c:pt>
                <c:pt idx="5">
                  <c:v>APPAREILLAGE AUTRE</c:v>
                </c:pt>
                <c:pt idx="6">
                  <c:v>AUTRES ACCESS. TRAITEMENT DOMICILE</c:v>
                </c:pt>
                <c:pt idx="7">
                  <c:v>AUXILIAIRES MEDICAUX</c:v>
                </c:pt>
                <c:pt idx="8">
                  <c:v>CONSULTATIONS,VISITES ET ACTES DE PETITE CHIRURGIE</c:v>
                </c:pt>
                <c:pt idx="9">
                  <c:v>EXAMEN DE SUIVI POST-NATAL</c:v>
                </c:pt>
                <c:pt idx="10">
                  <c:v>EXAMEN OBLIGATOIRE ENFANT 100% K</c:v>
                </c:pt>
                <c:pt idx="11">
                  <c:v>FORFAIT PHARMACEUTIQUE JOURNALIER</c:v>
                </c:pt>
                <c:pt idx="12">
                  <c:v>IMAGERIE, RADIOLOGIE, ECHOGRAPHIE</c:v>
                </c:pt>
                <c:pt idx="13">
                  <c:v>INDEM. FORF. DÉPL. KINÉ PERS.-AGÉE</c:v>
                </c:pt>
                <c:pt idx="14">
                  <c:v>MAJO ASTREINTE MILIEU DE NUIT CONSU</c:v>
                </c:pt>
                <c:pt idx="15">
                  <c:v>MAJORATION PSY ENFANT</c:v>
                </c:pt>
                <c:pt idx="16">
                  <c:v>PHARMACIE</c:v>
                </c:pt>
                <c:pt idx="17">
                  <c:v>SOIN INFIRMIER PAR SAGE-FEMME</c:v>
                </c:pt>
                <c:pt idx="18">
                  <c:v>SOINS COURANTS</c:v>
                </c:pt>
                <c:pt idx="19">
                  <c:v>SOINS ORTHOPTISTE</c:v>
                </c:pt>
                <c:pt idx="20">
                  <c:v>TÉLÉCONSUL. D'ACCOMP. DANS UN LIEU</c:v>
                </c:pt>
                <c:pt idx="21">
                  <c:v>TEST RAPIDE D'ORIEN. DIAGNOS.ANGINE</c:v>
                </c:pt>
                <c:pt idx="22">
                  <c:v>VISITE LONGUE ET COMPLEXE</c:v>
                </c:pt>
              </c:strCache>
            </c:strRef>
          </c:cat>
          <c:val>
            <c:numRef>
              <c:f>SOINS!$J$16:$J$38</c:f>
              <c:numCache>
                <c:formatCode>#\ ##0\ "€"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1137.55</c:v>
                </c:pt>
                <c:pt idx="3">
                  <c:v>0</c:v>
                </c:pt>
                <c:pt idx="4">
                  <c:v>508.42</c:v>
                </c:pt>
                <c:pt idx="5">
                  <c:v>0</c:v>
                </c:pt>
                <c:pt idx="6">
                  <c:v>0</c:v>
                </c:pt>
                <c:pt idx="7">
                  <c:v>3349.88</c:v>
                </c:pt>
                <c:pt idx="8">
                  <c:v>9655.7299999999796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2203.6999999999998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FB-4957-BF26-D6CC59C97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746704"/>
        <c:axId val="713736912"/>
      </c:barChart>
      <c:catAx>
        <c:axId val="713746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13736912"/>
        <c:crosses val="autoZero"/>
        <c:auto val="1"/>
        <c:lblAlgn val="ctr"/>
        <c:lblOffset val="100"/>
        <c:noMultiLvlLbl val="0"/>
      </c:catAx>
      <c:valAx>
        <c:axId val="713736912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71374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5849-46B3-A6B0-C548C6FD82A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5849-46B3-A6B0-C548C6FD82AF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5849-46B3-A6B0-C548C6FD82A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5849-46B3-A6B0-C548C6FD82AF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5849-46B3-A6B0-C548C6FD82AF}"/>
                </c:ex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732352"/>
        <c:axId val="303737792"/>
      </c:lineChart>
      <c:catAx>
        <c:axId val="3037323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3737792"/>
        <c:crosses val="autoZero"/>
        <c:auto val="1"/>
        <c:lblAlgn val="ctr"/>
        <c:lblOffset val="100"/>
        <c:noMultiLvlLbl val="0"/>
      </c:catAx>
      <c:valAx>
        <c:axId val="303737792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373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1750-4142-B500-1430FD3099EC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1750-4142-B500-1430FD3099EC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1750-4142-B500-1430FD3099EC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1750-4142-B500-1430FD3099EC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1750-4142-B500-1430FD3099EC}"/>
                </c:ex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166640"/>
        <c:axId val="297705552"/>
      </c:lineChart>
      <c:catAx>
        <c:axId val="3031666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7705552"/>
        <c:crosses val="autoZero"/>
        <c:auto val="1"/>
        <c:lblAlgn val="ctr"/>
        <c:lblOffset val="100"/>
        <c:noMultiLvlLbl val="0"/>
      </c:catAx>
      <c:valAx>
        <c:axId val="297705552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316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15F-4D26-A046-BEE042AF4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B15F-4D26-A046-BEE042AF46ED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B15F-4D26-A046-BEE042AF4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B15F-4D26-A046-BEE042AF46ED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B15F-4D26-A046-BEE042AF46ED}"/>
                </c:ex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10992"/>
        <c:axId val="297706640"/>
      </c:lineChart>
      <c:catAx>
        <c:axId val="2977109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7706640"/>
        <c:crosses val="autoZero"/>
        <c:auto val="1"/>
        <c:lblAlgn val="ctr"/>
        <c:lblOffset val="100"/>
        <c:noMultiLvlLbl val="0"/>
      </c:catAx>
      <c:valAx>
        <c:axId val="29770664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771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jpg"/></Relationships>
</file>

<file path=xl/drawings/_rels/drawing8.xml.rels><?xml version="1.0" encoding="UTF-8" standalone="yes"?>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9.xml.rels><?xml version="1.0" encoding="UTF-8" standalone="yes"?>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10.xml.rels><?xml version="1.0" encoding="UTF-8" standalone="yes"?>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1.xml.rels><?xml version="1.0" encoding="UTF-8" standalone="yes"?>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2.xml.rels><?xml version="1.0" encoding="UTF-8" standalone="yes"?>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3.xml.rels><?xml version="1.0" encoding="UTF-8" standalone="yes"?>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4.xml.rels><?xml version="1.0" encoding="UTF-8" standalone="yes"?>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5.xml.rels><?xml version="1.0" encoding="UTF-8" standalone="yes"?>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6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9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20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6378CA3A-3B78-4EA5-B499-72C60C4AF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50975D2-0469-43A0-BCD6-CEFDB8D9A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5E835B05-6206-4200-AAA4-7DC652212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AE9BFE7F-002A-B0B9-4182-866522E340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35DC3CCB-E6A6-44A3-BF17-54385EA38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F71478B0-5E40-4979-BFC9-3307F5E65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272D4C96-A42B-40EC-933D-8D7C064DD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73025</xdr:rowOff>
    </xdr:from>
    <xdr:to>
      <xdr:col>17</xdr:col>
      <xdr:colOff>9525</xdr:colOff>
      <xdr:row>56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DF2BB06E-4151-DEF6-857A-4687636B8B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B08EA0E9-55B6-41CB-AB0A-4F11177BD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F630CFF7-24FE-4655-B888-5E4AE04B3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D3E8445-344A-4F75-AE77-11D72220A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96A63605-22C6-D54E-A00A-A04AC8A15C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6F85D557-ED55-4100-9C68-39C3CB8D3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121CC5B-F521-43EB-A338-8F83BE5A7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597C97E6-C24A-4CEE-8280-655C25A09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B424FFE0-BB4F-5BF1-E233-C71194BEBF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36238C9B-9572-4A07-BC08-229BCB554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B458817-0B57-4B23-A2C9-D3D5CA5C6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15F19F11-60BE-40F0-9FA2-1D8184BFA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56</xdr:row>
      <xdr:rowOff>9525</xdr:rowOff>
    </xdr:from>
    <xdr:to>
      <xdr:col>17</xdr:col>
      <xdr:colOff>9525</xdr:colOff>
      <xdr:row>79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C45242FA-04CD-9E32-DE90-EB7BF930F7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C48AE21F-F876-47B2-B26C-6E7CE47F2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8273085E-41E4-4E09-B3E4-1D71FD322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DDAF0DC2-2B7E-4E3B-8693-88B722AB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14C7A692-D4D5-6EBC-2BCE-0160B78BB5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3A237BEE-6305-406F-B933-E5FB88463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D52707F9-9086-45A1-9C0E-DED3B336B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5976ACC7-E674-402B-8BA0-9FC4812BC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61214861-EAE0-88EB-EE33-25D45BBC0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40982FF3-0473-44BD-ABB3-922AA99EF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9535E4E-0B90-4926-B002-D1C2A7161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DCED0D37-3A62-454A-BE09-4C1653409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30</xdr:row>
      <xdr:rowOff>136525</xdr:rowOff>
    </xdr:from>
    <xdr:to>
      <xdr:col>17</xdr:col>
      <xdr:colOff>9525</xdr:colOff>
      <xdr:row>54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03484EC5-BE1A-101E-0F4D-07940B795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330C9845-02C7-4243-9D93-F430E0575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C965C670-02DA-4828-B32D-32BC1EAC6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22AAB6AA-06CB-4AD2-9962-1770A4F5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57</xdr:row>
      <xdr:rowOff>73025</xdr:rowOff>
    </xdr:from>
    <xdr:to>
      <xdr:col>17</xdr:col>
      <xdr:colOff>9525</xdr:colOff>
      <xdr:row>80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A554AD28-75FA-1C6B-181F-C25B1E8A97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  <pageSetUpPr fitToPage="1"/>
  </sheetPr>
  <dimension ref="A1:AE41"/>
  <sheetViews>
    <sheetView showGridLines="0" topLeftCell="C1" zoomScale="70" zoomScaleNormal="70" workbookViewId="0">
      <selection activeCell="AD2" sqref="AD2"/>
    </sheetView>
  </sheetViews>
  <sheetFormatPr defaultColWidth="11.42578125" defaultRowHeight="15"/>
  <cols>
    <col min="1" max="1" width="2.85546875" customWidth="1" style="77"/>
    <col min="2" max="2" width="4.28515625" customWidth="1" style="77"/>
    <col min="3" max="3" width="11.42578125" customWidth="1" style="77"/>
    <col min="4" max="4" width="13.7109375" customWidth="1" style="77"/>
    <col min="5" max="5" width="11.42578125" customWidth="1" style="77"/>
    <col min="6" max="6" width="11.42578125" customWidth="1" style="77"/>
    <col min="7" max="7" width="11.42578125" customWidth="1" style="77"/>
    <col min="8" max="8" width="11.42578125" customWidth="1" style="77"/>
    <col min="9" max="9" width="11.42578125" customWidth="1" style="77"/>
    <col min="10" max="10" width="22.85546875" customWidth="1" style="77"/>
    <col min="11" max="11" width="22.85546875" customWidth="1" style="77"/>
    <col min="12" max="12" width="11.42578125" customWidth="1" style="77"/>
    <col min="13" max="13" width="11.42578125" customWidth="1" style="77"/>
    <col min="14" max="14" width="11.42578125" customWidth="1" style="77"/>
    <col min="15" max="15" width="11.42578125" customWidth="1" style="77"/>
    <col min="16" max="16" width="11.42578125" customWidth="1" style="77"/>
    <col min="17" max="17" width="11.42578125" customWidth="1" style="77"/>
    <col min="18" max="18" width="11.42578125" customWidth="1" style="77"/>
    <col min="19" max="19" width="4.28515625" customWidth="1" style="77"/>
    <col min="20" max="20" width="2.85546875" customWidth="1" style="77"/>
    <col min="21" max="21" width="11.42578125" customWidth="1" style="77"/>
    <col min="22" max="22" width="11.42578125" customWidth="1" style="77"/>
    <col min="23" max="32" width="11.42578125" customWidth="1" style="77"/>
    <col min="33" max="16384" width="11.42578125" customWidth="1" style="77"/>
  </cols>
  <sheetData>
    <row r="1">
      <c r="AD1" s="77" t="s">
        <v>28</v>
      </c>
      <c r="AE1" s="77" t="s">
        <v>29</v>
      </c>
    </row>
    <row r="2">
      <c r="B2" s="78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80"/>
      <c r="AD2" s="77" t="s">
        <v>30</v>
      </c>
      <c r="AE2" s="77" t="s">
        <v>31</v>
      </c>
    </row>
    <row r="3">
      <c r="B3" s="81"/>
      <c r="S3" s="82"/>
    </row>
    <row r="4">
      <c r="B4" s="81"/>
      <c r="S4" s="82"/>
    </row>
    <row r="5">
      <c r="B5" s="81"/>
      <c r="S5" s="82"/>
    </row>
    <row r="6">
      <c r="B6" s="81"/>
      <c r="S6" s="82"/>
    </row>
    <row r="7">
      <c r="B7" s="81"/>
      <c r="S7" s="82"/>
    </row>
    <row r="8">
      <c r="B8" s="81"/>
      <c r="S8" s="82"/>
    </row>
    <row r="9" ht="45">
      <c r="B9" s="81"/>
      <c r="C9" s="83" t="s">
        <v>32</v>
      </c>
      <c r="D9" s="84"/>
      <c r="E9" s="84"/>
      <c r="F9" s="84"/>
      <c r="G9" s="84"/>
      <c r="H9" s="84"/>
      <c r="I9" s="84"/>
      <c r="S9" s="82"/>
    </row>
    <row r="10" ht="45">
      <c r="B10" s="81"/>
      <c r="C10" s="83" t="s">
        <v>33</v>
      </c>
      <c r="D10" s="84"/>
      <c r="E10" s="84"/>
      <c r="F10" s="84"/>
      <c r="G10" s="84"/>
      <c r="H10" s="84"/>
      <c r="I10" s="84"/>
      <c r="S10" s="82"/>
    </row>
    <row r="11">
      <c r="B11" s="81"/>
      <c r="C11" s="84"/>
      <c r="D11" s="84"/>
      <c r="E11" s="84"/>
      <c r="F11" s="84"/>
      <c r="G11" s="84"/>
      <c r="H11" s="84"/>
      <c r="I11" s="84"/>
      <c r="S11" s="82"/>
    </row>
    <row r="12" ht="15" customHeight="1">
      <c r="B12" s="81"/>
      <c r="C12" s="84"/>
      <c r="D12" s="84"/>
      <c r="E12" s="84"/>
      <c r="F12" s="84"/>
      <c r="G12" s="84"/>
      <c r="H12" s="84"/>
      <c r="I12" s="84"/>
      <c r="J12" s="85"/>
      <c r="S12" s="82"/>
    </row>
    <row r="13" ht="90" customHeight="1">
      <c r="B13" s="86"/>
      <c r="C13" s="249" t="s">
        <v>34</v>
      </c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87"/>
    </row>
    <row r="14">
      <c r="B14" s="81"/>
      <c r="C14" s="84"/>
      <c r="D14" s="84"/>
      <c r="E14" s="84"/>
      <c r="F14" s="84"/>
      <c r="G14" s="84"/>
      <c r="H14" s="84"/>
      <c r="I14" s="84"/>
      <c r="S14" s="82"/>
    </row>
    <row r="15">
      <c r="B15" s="81"/>
      <c r="C15" s="84"/>
      <c r="D15" s="84"/>
      <c r="E15" s="84"/>
      <c r="F15" s="84"/>
      <c r="G15" s="84"/>
      <c r="H15" s="84"/>
      <c r="I15" s="84"/>
      <c r="S15" s="82"/>
    </row>
    <row r="16">
      <c r="B16" s="81"/>
      <c r="S16" s="82"/>
    </row>
    <row r="17">
      <c r="B17" s="81"/>
      <c r="S17" s="82"/>
    </row>
    <row r="18">
      <c r="B18" s="81"/>
      <c r="S18" s="82"/>
    </row>
    <row r="19" ht="67.5" customHeight="1" s="85" customFormat="1">
      <c r="A19" s="77"/>
      <c r="B19" s="88"/>
      <c r="C19" s="89"/>
      <c r="D19" s="90" t="s">
        <v>35</v>
      </c>
      <c r="F19" s="89" t="s">
        <v>36</v>
      </c>
      <c r="G19" s="250" t="s">
        <v>37</v>
      </c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91"/>
    </row>
    <row r="20" ht="67.5" customHeight="1" s="85" customFormat="1">
      <c r="A20" s="77"/>
      <c r="B20" s="88"/>
      <c r="C20" s="89"/>
      <c r="D20" s="90" t="s">
        <v>38</v>
      </c>
      <c r="F20" s="92"/>
      <c r="G20" s="90" t="s">
        <v>39</v>
      </c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1"/>
    </row>
    <row r="21">
      <c r="B21" s="81"/>
      <c r="C21" s="84"/>
      <c r="D21" s="93"/>
      <c r="E21" s="84"/>
      <c r="F21" s="84"/>
      <c r="G21" s="84"/>
      <c r="H21" s="84"/>
      <c r="I21" s="84"/>
      <c r="S21" s="82"/>
    </row>
    <row r="22" ht="33.75" s="85" customFormat="1">
      <c r="A22" s="77"/>
      <c r="B22" s="88"/>
      <c r="C22" s="89"/>
      <c r="D22" s="94" t="s">
        <v>40</v>
      </c>
      <c r="E22" s="89"/>
      <c r="G22" s="89"/>
      <c r="H22" s="95" t="s">
        <v>41</v>
      </c>
      <c r="I22" s="96"/>
      <c r="S22" s="91"/>
    </row>
    <row r="23" ht="33.75" s="85" customFormat="1">
      <c r="A23" s="77"/>
      <c r="B23" s="88"/>
      <c r="C23" s="89"/>
      <c r="D23" s="94" t="s">
        <v>42</v>
      </c>
      <c r="E23" s="89"/>
      <c r="F23" s="89"/>
      <c r="H23" s="89"/>
      <c r="J23" s="95" t="s">
        <v>43</v>
      </c>
      <c r="S23" s="91"/>
    </row>
    <row r="24" ht="25.5">
      <c r="B24" s="81"/>
      <c r="D24" s="204" t="str">
        <f>+AFFICHAGE!S2</f>
        <v>Survenance</v>
      </c>
      <c r="S24" s="82"/>
    </row>
    <row r="25">
      <c r="B25" s="81"/>
      <c r="S25" s="82"/>
    </row>
    <row r="26" hidden="1" ht="15" customHeight="1">
      <c r="B26" s="81"/>
      <c r="S26" s="82"/>
    </row>
    <row r="27" hidden="1" ht="15" customHeight="1">
      <c r="B27" s="81"/>
      <c r="S27" s="82"/>
    </row>
    <row r="28">
      <c r="B28" s="81"/>
      <c r="S28" s="82"/>
    </row>
    <row r="29">
      <c r="B29" s="81"/>
      <c r="S29" s="82"/>
    </row>
    <row r="30" hidden="1">
      <c r="B30" s="81"/>
      <c r="S30" s="82"/>
    </row>
    <row r="31" hidden="1">
      <c r="B31" s="81"/>
      <c r="S31" s="82"/>
    </row>
    <row r="32" hidden="1">
      <c r="B32" s="81"/>
      <c r="S32" s="82"/>
    </row>
    <row r="33">
      <c r="B33" s="81"/>
      <c r="S33" s="82"/>
    </row>
    <row r="34" hidden="1">
      <c r="B34" s="81"/>
      <c r="S34" s="82"/>
    </row>
    <row r="35" hidden="1">
      <c r="B35" s="81"/>
      <c r="S35" s="82"/>
    </row>
    <row r="36" hidden="1">
      <c r="B36" s="81"/>
      <c r="S36" s="82"/>
    </row>
    <row r="37" hidden="1">
      <c r="B37" s="81"/>
      <c r="S37" s="82"/>
    </row>
    <row r="38">
      <c r="B38" s="81"/>
      <c r="S38" s="82"/>
    </row>
    <row r="39">
      <c r="B39" s="81"/>
      <c r="S39" s="82"/>
    </row>
    <row r="40" ht="7.5" customHeight="1">
      <c r="B40" s="81"/>
      <c r="S40" s="82"/>
    </row>
    <row r="41">
      <c r="B41" s="97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9"/>
    </row>
  </sheetData>
  <mergeCells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FF0000"/>
    <pageSetUpPr fitToPage="1"/>
  </sheetPr>
  <dimension ref="A1:H18"/>
  <sheetViews>
    <sheetView zoomScaleNormal="100" workbookViewId="0">
      <selection activeCell="A18" sqref="A18:H18"/>
    </sheetView>
  </sheetViews>
  <sheetFormatPr defaultColWidth="11.28515625" defaultRowHeight="15"/>
  <cols>
    <col min="1" max="1" bestFit="1" width="10.7109375" customWidth="1" style="145"/>
    <col min="2" max="2" bestFit="1" width="13.7109375" customWidth="1" style="145"/>
    <col min="3" max="3" bestFit="1" width="13.85546875" customWidth="1" style="145"/>
    <col min="4" max="4" bestFit="1" width="21.5703125" customWidth="1" style="145"/>
    <col min="5" max="5" bestFit="1" width="16" customWidth="1" style="145"/>
    <col min="6" max="6" bestFit="1" width="21.140625" customWidth="1" style="145"/>
    <col min="7" max="7" bestFit="1" width="17.140625" customWidth="1" style="145"/>
    <col min="8" max="8" bestFit="1" width="15.140625" customWidth="1" style="145"/>
    <col min="9" max="10" width="11.28515625" customWidth="1" style="145"/>
    <col min="11" max="16384" width="11.28515625" customWidth="1" style="145"/>
  </cols>
  <sheetData>
    <row r="1">
      <c r="A1" s="251" t="s">
        <v>9</v>
      </c>
      <c r="B1" s="251"/>
      <c r="C1" s="251"/>
      <c r="D1" s="251"/>
      <c r="E1" s="251"/>
      <c r="F1" s="251"/>
      <c r="G1" s="251"/>
      <c r="H1" s="251"/>
    </row>
    <row r="2" s="206" customFormat="1">
      <c r="A2" s="205" t="s">
        <v>10</v>
      </c>
      <c r="B2" s="205" t="s">
        <v>11</v>
      </c>
      <c r="C2" s="205" t="s">
        <v>12</v>
      </c>
      <c r="D2" s="205" t="s">
        <v>13</v>
      </c>
      <c r="E2" s="205" t="s">
        <v>14</v>
      </c>
      <c r="F2" s="205" t="s">
        <v>15</v>
      </c>
      <c r="G2" s="205" t="s">
        <v>16</v>
      </c>
      <c r="H2" s="205" t="s">
        <v>17</v>
      </c>
    </row>
    <row r="6">
      <c r="A6" s="251" t="s">
        <v>18</v>
      </c>
      <c r="B6" s="251"/>
      <c r="C6" s="251"/>
      <c r="D6" s="251"/>
      <c r="E6" s="251"/>
      <c r="F6" s="251"/>
      <c r="G6" s="251"/>
      <c r="H6" s="251"/>
    </row>
    <row r="7" s="206" customFormat="1">
      <c r="A7" s="205" t="s">
        <v>10</v>
      </c>
      <c r="B7" s="205" t="s">
        <v>11</v>
      </c>
      <c r="C7" s="205" t="s">
        <v>12</v>
      </c>
      <c r="D7" s="205" t="s">
        <v>13</v>
      </c>
      <c r="E7" s="205" t="s">
        <v>14</v>
      </c>
      <c r="F7" s="205" t="s">
        <v>15</v>
      </c>
      <c r="G7" s="205" t="s">
        <v>16</v>
      </c>
      <c r="H7" s="205" t="s">
        <v>17</v>
      </c>
    </row>
    <row r="8">
      <c r="A8" s="220">
        <v>2022</v>
      </c>
      <c r="B8" s="221">
        <v>40526.39</v>
      </c>
      <c r="C8" s="221">
        <v>3189.92</v>
      </c>
      <c r="D8" s="221">
        <v>43704.69</v>
      </c>
      <c r="E8" s="222">
        <v>0.2686</v>
      </c>
      <c r="F8" s="221">
        <v>31965.17</v>
      </c>
      <c r="G8" s="222">
        <v>1.3676</v>
      </c>
      <c r="H8" s="221">
        <v>-11751.14</v>
      </c>
    </row>
    <row r="12">
      <c r="A12" s="251" t="s">
        <v>19</v>
      </c>
      <c r="B12" s="251"/>
      <c r="C12" s="251"/>
      <c r="D12" s="251"/>
      <c r="E12" s="251"/>
      <c r="F12" s="251"/>
      <c r="G12" s="251"/>
      <c r="H12" s="251"/>
    </row>
    <row r="13" s="206" customFormat="1">
      <c r="A13" s="205" t="s">
        <v>10</v>
      </c>
      <c r="B13" s="205" t="s">
        <v>11</v>
      </c>
      <c r="C13" s="205" t="s">
        <v>12</v>
      </c>
      <c r="D13" s="205" t="s">
        <v>13</v>
      </c>
      <c r="E13" s="205" t="s">
        <v>14</v>
      </c>
      <c r="F13" s="205" t="s">
        <v>15</v>
      </c>
      <c r="G13" s="205" t="s">
        <v>16</v>
      </c>
      <c r="H13" s="205" t="s">
        <v>17</v>
      </c>
    </row>
    <row r="14">
      <c r="A14" s="223">
        <v>2022</v>
      </c>
      <c r="B14" s="246">
        <v>40526.39</v>
      </c>
      <c r="C14" s="246">
        <v>3189.92</v>
      </c>
      <c r="D14" s="246">
        <v>43704.69</v>
      </c>
      <c r="E14" s="247">
        <v>0.2686</v>
      </c>
      <c r="F14" s="246">
        <v>31965.17</v>
      </c>
      <c r="G14" s="247">
        <v>1.3676</v>
      </c>
      <c r="H14" s="246">
        <v>-11751.14</v>
      </c>
    </row>
    <row r="18">
      <c r="A18" s="252" t="s">
        <v>20</v>
      </c>
      <c r="B18" s="252"/>
      <c r="C18" s="252"/>
      <c r="D18" s="252"/>
      <c r="E18" s="252"/>
      <c r="F18" s="252"/>
      <c r="G18" s="252"/>
      <c r="H18" s="252"/>
    </row>
  </sheetData>
  <mergeCells>
    <mergeCell ref="A12:H12"/>
    <mergeCell ref="A18:H18"/>
    <mergeCell ref="A1:H1"/>
    <mergeCell ref="A6:H6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H24" sqref="H24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customWidth="1" style="47"/>
    <col min="8" max="8" width="2.85546875" customWidth="1" style="47"/>
    <col min="9" max="9" width="22.85546875" customWidth="1" style="47"/>
    <col min="10" max="10" width="2.85546875" customWidth="1" style="47"/>
    <col min="11" max="11" width="22.85546875" customWidth="1" style="47"/>
    <col min="12" max="12" width="2.85546875" customWidth="1" style="47"/>
    <col min="13" max="13" width="22.85546875" customWidth="1" style="47"/>
    <col min="14" max="14" width="2.85546875" customWidth="1" style="47"/>
    <col min="15" max="15" width="22.85546875" customWidth="1" style="47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ht="15" customHeight="1">
      <c r="B1" s="15"/>
      <c r="C1" s="15"/>
      <c r="D1" s="15"/>
      <c r="E1" s="15"/>
      <c r="F1" s="15"/>
      <c r="G1" s="46"/>
      <c r="H1" s="46"/>
      <c r="I1" s="46"/>
      <c r="J1" s="46"/>
      <c r="K1" s="46"/>
      <c r="L1" s="46"/>
      <c r="M1" s="46"/>
      <c r="N1" s="46"/>
      <c r="O1" s="46"/>
      <c r="P1" s="15"/>
      <c r="Q1" s="15"/>
      <c r="R1" s="15"/>
      <c r="S1" s="15"/>
      <c r="T1" s="15"/>
    </row>
    <row r="2" ht="15" customHeight="1">
      <c r="B2" s="58"/>
      <c r="C2" s="59"/>
      <c r="D2" s="59"/>
      <c r="E2" s="59"/>
      <c r="F2" s="59"/>
      <c r="G2" s="63"/>
      <c r="H2" s="63"/>
      <c r="I2" s="63"/>
      <c r="J2" s="63"/>
      <c r="K2" s="63"/>
      <c r="L2" s="63"/>
      <c r="M2" s="63"/>
      <c r="N2" s="63"/>
      <c r="O2" s="63"/>
      <c r="P2" s="59"/>
      <c r="Q2" s="59"/>
      <c r="R2" s="59"/>
      <c r="S2" s="60"/>
    </row>
    <row r="3" ht="15" customHeight="1">
      <c r="B3" s="12"/>
      <c r="S3" s="61"/>
    </row>
    <row r="4" ht="15" customHeight="1">
      <c r="B4" s="12"/>
      <c r="S4" s="61"/>
    </row>
    <row r="5" ht="15" customHeight="1">
      <c r="B5" s="12"/>
      <c r="S5" s="61"/>
    </row>
    <row r="6" hidden="1" ht="15" customHeight="1">
      <c r="B6" s="12"/>
      <c r="S6" s="61"/>
    </row>
    <row r="7" hidden="1" ht="15" customHeight="1">
      <c r="B7" s="12"/>
      <c r="S7" s="61"/>
    </row>
    <row r="8" ht="60" customHeight="1">
      <c r="B8" s="12"/>
      <c r="C8" s="253" t="str">
        <f>'Page de garde'!C13&amp;" : Résultats"</f>
        <v>60000016 - 60000017 - 60000018 - 60000087 : Résultats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5"/>
      <c r="S8" s="61"/>
    </row>
    <row r="9" ht="15" customHeight="1">
      <c r="B9" s="12"/>
      <c r="S9" s="61"/>
    </row>
    <row r="10" ht="15" customHeight="1">
      <c r="B10" s="12"/>
      <c r="S10" s="61"/>
    </row>
    <row r="11" ht="15" customHeight="1">
      <c r="B11" s="12"/>
      <c r="S11" s="61"/>
    </row>
    <row r="12" ht="15" customHeight="1">
      <c r="B12" s="12"/>
      <c r="S12" s="61"/>
    </row>
    <row r="13" ht="15" customHeight="1">
      <c r="B13" s="12"/>
      <c r="C13" s="100" t="s">
        <v>21</v>
      </c>
      <c r="D13" s="101"/>
      <c r="E13" s="102" t="str">
        <f>'Page de garde'!J23</f>
        <v>31 décembre 2022</v>
      </c>
      <c r="F13" s="17"/>
      <c r="G13" s="48"/>
      <c r="H13" s="48"/>
      <c r="I13" s="49"/>
      <c r="J13" s="49"/>
      <c r="K13" s="49"/>
      <c r="L13" s="49"/>
      <c r="M13" s="49"/>
      <c r="N13" s="49"/>
      <c r="O13" s="49"/>
      <c r="P13" s="17"/>
      <c r="Q13" s="17"/>
      <c r="R13" s="21"/>
      <c r="S13" s="61"/>
    </row>
    <row r="14" ht="15" customHeight="1">
      <c r="B14" s="12"/>
      <c r="C14" s="17"/>
      <c r="D14" s="17"/>
      <c r="E14" s="17"/>
      <c r="F14" s="17"/>
      <c r="G14" s="49"/>
      <c r="H14" s="49"/>
      <c r="I14" s="49"/>
      <c r="J14" s="49"/>
      <c r="K14" s="49"/>
      <c r="L14" s="49"/>
      <c r="M14" s="49"/>
      <c r="N14" s="49"/>
      <c r="O14" s="49"/>
      <c r="P14" s="17"/>
      <c r="Q14" s="17"/>
      <c r="R14" s="21"/>
      <c r="S14" s="61"/>
    </row>
    <row r="15" ht="54.75" customHeight="1">
      <c r="B15" s="12"/>
      <c r="C15" s="17"/>
      <c r="D15" s="17"/>
      <c r="E15" s="17"/>
      <c r="F15" s="18"/>
      <c r="G15" s="103" t="s">
        <v>11</v>
      </c>
      <c r="H15" s="50"/>
      <c r="I15" s="103" t="s">
        <v>12</v>
      </c>
      <c r="J15" s="50"/>
      <c r="K15" s="103" t="s">
        <v>13</v>
      </c>
      <c r="L15" s="50"/>
      <c r="M15" s="103" t="s">
        <v>22</v>
      </c>
      <c r="N15" s="50"/>
      <c r="O15" s="103" t="s">
        <v>15</v>
      </c>
      <c r="P15" s="18"/>
      <c r="Q15" s="104" t="s">
        <v>23</v>
      </c>
      <c r="R15" s="21"/>
      <c r="S15" s="61"/>
    </row>
    <row r="16" ht="22.5" customHeight="1">
      <c r="B16" s="12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21"/>
      <c r="S16" s="61"/>
    </row>
    <row r="17" ht="22.5" customHeight="1">
      <c r="B17" s="12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21"/>
      <c r="S17" s="61"/>
    </row>
    <row r="18" ht="22.5" customHeight="1">
      <c r="B18" s="12"/>
      <c r="C18" s="17"/>
      <c r="D18" s="17"/>
      <c r="E18" s="17"/>
      <c r="F18" s="17"/>
      <c r="G18" s="4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21"/>
      <c r="S18" s="61"/>
    </row>
    <row r="19" ht="22.5" customHeight="1">
      <c r="B19" s="12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21"/>
      <c r="S19" s="61"/>
    </row>
    <row r="20" ht="22.5" customHeight="1">
      <c r="B20" s="12"/>
      <c r="C20" s="105">
        <v>2022</v>
      </c>
      <c r="D20" s="17"/>
      <c r="E20" s="106" t="s">
        <v>24</v>
      </c>
      <c r="F20" s="17"/>
      <c r="G20" s="51">
        <v>40526.39</v>
      </c>
      <c r="H20" s="50"/>
      <c r="I20" s="51">
        <v>3189.92</v>
      </c>
      <c r="J20" s="50"/>
      <c r="K20" s="51">
        <v>43704.69</v>
      </c>
      <c r="L20" s="50"/>
      <c r="M20" s="218">
        <v>0.2686</v>
      </c>
      <c r="N20" s="50"/>
      <c r="O20" s="51">
        <v>31965.17</v>
      </c>
      <c r="P20" s="18"/>
      <c r="Q20" s="218">
        <v>1.3676</v>
      </c>
      <c r="R20" s="21"/>
      <c r="S20" s="61"/>
    </row>
    <row r="21" ht="22.5" customHeight="1">
      <c r="B21" s="12"/>
      <c r="C21" s="16"/>
      <c r="D21" s="17"/>
      <c r="E21" s="107"/>
      <c r="F21" s="17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219"/>
      <c r="R21" s="21"/>
      <c r="S21" s="61"/>
    </row>
    <row r="22" ht="22.5" customHeight="1">
      <c r="B22" s="12"/>
      <c r="C22" s="16"/>
      <c r="D22" s="17"/>
      <c r="E22" s="56"/>
      <c r="F22" s="17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219"/>
      <c r="R22" s="21"/>
      <c r="S22" s="61"/>
    </row>
    <row r="23" ht="22.5" customHeight="1">
      <c r="B23" s="12"/>
      <c r="C23" s="16"/>
      <c r="D23" s="17"/>
      <c r="E23" s="16"/>
      <c r="F23" s="17"/>
      <c r="G23" s="52"/>
      <c r="H23" s="52"/>
      <c r="I23" s="52"/>
      <c r="J23" s="52"/>
      <c r="K23" s="53"/>
      <c r="L23" s="52"/>
      <c r="M23" s="53"/>
      <c r="N23" s="52"/>
      <c r="O23" s="53"/>
      <c r="P23" s="19"/>
      <c r="Q23" s="20"/>
      <c r="R23" s="21"/>
      <c r="S23" s="61"/>
    </row>
    <row r="24" ht="22.5" customHeight="1">
      <c r="B24" s="12"/>
      <c r="C24" s="224"/>
      <c r="D24" s="17"/>
      <c r="E24" s="224"/>
      <c r="F24" s="17"/>
      <c r="G24" s="225"/>
      <c r="H24" s="225"/>
      <c r="I24" s="225"/>
      <c r="J24" s="225"/>
      <c r="K24" s="226"/>
      <c r="L24" s="225"/>
      <c r="M24" s="226"/>
      <c r="N24" s="225"/>
      <c r="O24" s="226"/>
      <c r="P24" s="227"/>
      <c r="Q24" s="228"/>
      <c r="R24" s="21"/>
      <c r="S24" s="61"/>
    </row>
    <row r="25" ht="22.5" customHeight="1">
      <c r="B25" s="12"/>
      <c r="C25" s="229"/>
      <c r="D25" s="17"/>
      <c r="E25" s="229"/>
      <c r="F25" s="17"/>
      <c r="G25" s="50"/>
      <c r="H25" s="50"/>
      <c r="I25" s="50"/>
      <c r="J25" s="50"/>
      <c r="K25" s="50"/>
      <c r="L25" s="50"/>
      <c r="M25" s="57"/>
      <c r="N25" s="50"/>
      <c r="O25" s="50"/>
      <c r="P25" s="18"/>
      <c r="Q25" s="57"/>
      <c r="R25" s="21"/>
      <c r="S25" s="61"/>
    </row>
    <row r="26" ht="22.5" customHeight="1">
      <c r="B26" s="12"/>
      <c r="C26" s="16"/>
      <c r="D26" s="17"/>
      <c r="E26" s="107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21"/>
      <c r="S26" s="61"/>
    </row>
    <row r="27" ht="22.5" customHeight="1">
      <c r="B27" s="12"/>
      <c r="C27" s="16"/>
      <c r="D27" s="17"/>
      <c r="E27" s="108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21"/>
      <c r="S27" s="61"/>
    </row>
    <row r="28" ht="22.5" customHeight="1">
      <c r="B28" s="12"/>
      <c r="C28" s="16"/>
      <c r="D28" s="17"/>
      <c r="E28" s="107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21"/>
      <c r="S28" s="61"/>
    </row>
    <row r="29" ht="12.6" customHeight="1">
      <c r="B29" s="12"/>
      <c r="C29" s="16"/>
      <c r="D29" s="17"/>
      <c r="E29" s="56"/>
      <c r="F29" s="17"/>
      <c r="G29" s="50"/>
      <c r="H29" s="50"/>
      <c r="I29" s="57"/>
      <c r="J29" s="50"/>
      <c r="K29" s="50"/>
      <c r="L29" s="50"/>
      <c r="M29" s="50"/>
      <c r="N29" s="50"/>
      <c r="O29" s="50"/>
      <c r="P29" s="18"/>
      <c r="Q29" s="57"/>
      <c r="R29" s="21"/>
      <c r="S29" s="61"/>
    </row>
    <row r="30" ht="8.85" customHeight="1">
      <c r="B30" s="12"/>
      <c r="C30" s="16"/>
      <c r="D30" s="17"/>
      <c r="E30" s="56"/>
      <c r="F30" s="17"/>
      <c r="G30" s="50"/>
      <c r="H30" s="50"/>
      <c r="I30" s="57"/>
      <c r="J30" s="50"/>
      <c r="K30" s="50"/>
      <c r="L30" s="50"/>
      <c r="M30" s="50"/>
      <c r="N30" s="50"/>
      <c r="O30" s="50"/>
      <c r="P30" s="18"/>
      <c r="Q30" s="57"/>
      <c r="R30" s="21"/>
      <c r="S30" s="61"/>
    </row>
    <row r="31" ht="22.5" customHeight="1">
      <c r="B31" s="12"/>
      <c r="C31" s="109" t="s">
        <v>25</v>
      </c>
      <c r="D31" s="110"/>
      <c r="E31" s="111"/>
      <c r="F31" s="110"/>
      <c r="G31" s="112"/>
      <c r="H31" s="112"/>
      <c r="I31" s="112"/>
      <c r="J31" s="112"/>
      <c r="K31" s="113"/>
      <c r="L31" s="112"/>
      <c r="M31" s="113"/>
      <c r="N31" s="112"/>
      <c r="O31" s="113"/>
      <c r="P31" s="114"/>
      <c r="Q31" s="115"/>
      <c r="R31" s="116"/>
      <c r="S31" s="61"/>
    </row>
    <row r="32" ht="22.5" customHeight="1">
      <c r="B32" s="12"/>
      <c r="C32" s="109" t="s">
        <v>26</v>
      </c>
      <c r="D32" s="110"/>
      <c r="E32" s="111"/>
      <c r="F32" s="110"/>
      <c r="G32" s="112"/>
      <c r="H32" s="112"/>
      <c r="I32" s="112"/>
      <c r="J32" s="112"/>
      <c r="K32" s="113"/>
      <c r="L32" s="112"/>
      <c r="M32" s="113"/>
      <c r="N32" s="112"/>
      <c r="O32" s="113"/>
      <c r="P32" s="114"/>
      <c r="Q32" s="115"/>
      <c r="R32" s="116"/>
      <c r="S32" s="61"/>
    </row>
    <row r="33" ht="22.5" customHeight="1">
      <c r="B33" s="12"/>
      <c r="C33" s="257" t="s">
        <v>27</v>
      </c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61"/>
    </row>
    <row r="34" ht="18.75">
      <c r="B34" s="12"/>
      <c r="C34" s="22"/>
      <c r="D34" s="17"/>
      <c r="E34" s="16"/>
      <c r="F34" s="17"/>
      <c r="G34" s="52"/>
      <c r="H34" s="52"/>
      <c r="I34" s="52"/>
      <c r="J34" s="52"/>
      <c r="K34" s="53"/>
      <c r="L34" s="52"/>
      <c r="M34" s="53"/>
      <c r="N34" s="52"/>
      <c r="O34" s="53"/>
      <c r="P34" s="19"/>
      <c r="Q34" s="20"/>
      <c r="R34" s="21"/>
      <c r="S34" s="61"/>
    </row>
    <row r="35" ht="32.45" customHeight="1">
      <c r="B35" s="12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61"/>
    </row>
    <row r="36" ht="22.5" customHeight="1">
      <c r="B36" s="12"/>
      <c r="C36" s="16"/>
      <c r="D36" s="17"/>
      <c r="E36" s="17"/>
      <c r="F36" s="17"/>
      <c r="G36" s="49"/>
      <c r="H36" s="49"/>
      <c r="I36" s="49"/>
      <c r="J36" s="49"/>
      <c r="K36" s="49"/>
      <c r="L36" s="49"/>
      <c r="M36" s="49"/>
      <c r="N36" s="49"/>
      <c r="O36" s="49"/>
      <c r="P36" s="17"/>
      <c r="Q36" s="17"/>
      <c r="R36" s="21"/>
      <c r="S36" s="61"/>
    </row>
    <row r="37" ht="32.45" customHeight="1">
      <c r="B37" s="12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49"/>
      <c r="O37" s="49"/>
      <c r="P37" s="17"/>
      <c r="Q37" s="17"/>
      <c r="R37" s="21"/>
      <c r="S37" s="61"/>
    </row>
    <row r="38" ht="15" customHeight="1">
      <c r="B38" s="13"/>
      <c r="C38" s="14"/>
      <c r="D38" s="14"/>
      <c r="E38" s="14"/>
      <c r="F38" s="14"/>
      <c r="G38" s="54"/>
      <c r="H38" s="54"/>
      <c r="I38" s="54"/>
      <c r="J38" s="54"/>
      <c r="K38" s="54"/>
      <c r="L38" s="54"/>
      <c r="M38" s="54"/>
      <c r="N38" s="54"/>
      <c r="O38" s="54"/>
      <c r="P38" s="14"/>
      <c r="Q38" s="14"/>
      <c r="R38" s="14"/>
      <c r="S38" s="62"/>
    </row>
  </sheetData>
  <mergeCells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  <pageSetUpPr fitToPage="1"/>
  </sheetPr>
  <dimension ref="A1:AB45"/>
  <sheetViews>
    <sheetView showGridLines="0" zoomScale="85" zoomScaleNormal="85" workbookViewId="0">
      <selection activeCell="A27" sqref="A27:XFD30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35.7109375" customWidth="1"/>
    <col min="4" max="4" width="21.28515625" customWidth="1"/>
    <col min="5" max="5" width="21.28515625" customWidth="1"/>
    <col min="6" max="6" width="21.28515625" customWidth="1"/>
    <col min="7" max="7" width="21.28515625" customWidth="1"/>
    <col min="8" max="8" width="21.28515625" customWidth="1"/>
    <col min="9" max="9" width="21.28515625" customWidth="1"/>
    <col min="10" max="10" width="21.28515625" customWidth="1"/>
    <col min="11" max="11" width="21.28515625" customWidth="1"/>
    <col min="12" max="12" width="4.28515625" customWidth="1"/>
    <col min="13" max="13" width="2.85546875" customWidth="1"/>
    <col min="14" max="17" width="11.42578125" customWidth="1"/>
    <col min="18" max="18" bestFit="1" width="22.5703125" customWidth="1"/>
    <col min="19" max="26" width="11.42578125" customWidth="1"/>
    <col min="27" max="27" bestFit="1" width="19.140625" customWidth="1"/>
    <col min="28" max="28" bestFit="1" width="12.7109375" customWidth="1" style="238"/>
    <col min="29" max="29" bestFit="1" width="10.5703125" customWidth="1"/>
    <col min="30" max="3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60"/>
      <c r="P2" s="64"/>
    </row>
    <row r="3">
      <c r="B3" s="12"/>
      <c r="L3" s="61"/>
    </row>
    <row r="4">
      <c r="B4" s="12"/>
      <c r="L4" s="61"/>
    </row>
    <row r="5">
      <c r="B5" s="12"/>
      <c r="L5" s="61"/>
    </row>
    <row r="6" hidden="1">
      <c r="B6" s="12"/>
      <c r="L6" s="61"/>
    </row>
    <row r="7" ht="15.75">
      <c r="B7" s="12"/>
      <c r="L7" s="61"/>
    </row>
    <row r="8" ht="60" customHeight="1">
      <c r="B8" s="12"/>
      <c r="C8" s="253" t="str">
        <f>'Page de garde'!C13&amp;" : Nombre d'Assurés par société"</f>
        <v>60000016 - 60000017 - 60000018 - 60000087 : Nombre d'Assurés par société</v>
      </c>
      <c r="D8" s="254"/>
      <c r="E8" s="254"/>
      <c r="F8" s="254"/>
      <c r="G8" s="254"/>
      <c r="H8" s="254"/>
      <c r="I8" s="254"/>
      <c r="J8" s="254"/>
      <c r="K8" s="255"/>
      <c r="L8" s="61"/>
    </row>
    <row r="9" hidden="1">
      <c r="B9" s="12"/>
      <c r="L9" s="61"/>
    </row>
    <row r="10">
      <c r="B10" s="12"/>
      <c r="L10" s="61"/>
    </row>
    <row r="11" ht="18.75" customHeight="1">
      <c r="B11" s="12"/>
      <c r="C11" s="160" t="s">
        <v>0</v>
      </c>
      <c r="L11" s="61"/>
    </row>
    <row r="12" ht="22.5" customHeight="1">
      <c r="B12" s="12"/>
      <c r="L12" s="61"/>
    </row>
    <row r="13" ht="22.5" customHeight="1" s="185" customFormat="1">
      <c r="A13" s="183"/>
      <c r="B13" s="184"/>
      <c r="D13" s="242" t="s">
        <v>1</v>
      </c>
      <c r="E13" s="156" t="s">
        <v>2</v>
      </c>
      <c r="F13" s="186"/>
      <c r="G13" s="186"/>
      <c r="H13" s="186"/>
      <c r="I13" s="186"/>
      <c r="L13" s="61"/>
      <c r="Y13" s="193"/>
      <c r="Z13" s="194"/>
      <c r="AA13" s="194"/>
      <c r="AB13" s="239"/>
    </row>
    <row r="14" ht="14.25" customHeight="1" s="191" customFormat="1">
      <c r="A14" s="187"/>
      <c r="B14" s="188"/>
      <c r="C14" s="189"/>
      <c r="D14" s="190" t="s">
        <v>3</v>
      </c>
      <c r="E14" s="190" t="s">
        <v>4</v>
      </c>
      <c r="F14" s="186"/>
      <c r="G14" s="186"/>
      <c r="H14" s="186"/>
      <c r="I14" s="186"/>
      <c r="L14" s="61"/>
      <c r="P14" s="192"/>
      <c r="X14" s="193"/>
      <c r="Y14" s="193"/>
      <c r="Z14" s="193"/>
      <c r="AA14" s="193">
        <v>60000016</v>
      </c>
      <c r="AB14" s="240">
        <v>58</v>
      </c>
    </row>
    <row r="15" ht="14.25" customHeight="1" s="191" customFormat="1">
      <c r="A15" s="187"/>
      <c r="B15" s="188"/>
      <c r="C15" s="195">
        <v>60000016</v>
      </c>
      <c r="D15" s="196">
        <v>58</v>
      </c>
      <c r="E15" s="197">
        <v>0.79452054794520544</v>
      </c>
      <c r="F15" s="186"/>
      <c r="G15" s="186"/>
      <c r="H15" s="186"/>
      <c r="I15" s="186"/>
      <c r="L15" s="61"/>
      <c r="X15" s="193"/>
      <c r="Y15" s="193"/>
      <c r="Z15" s="193"/>
      <c r="AA15" s="193"/>
      <c r="AB15" s="240"/>
    </row>
    <row r="16" ht="14.25" customHeight="1" s="191" customFormat="1">
      <c r="A16" s="187"/>
      <c r="B16" s="188"/>
      <c r="C16" s="198" t="s">
        <v>5</v>
      </c>
      <c r="D16" s="199">
        <v>24</v>
      </c>
      <c r="E16" s="200">
        <v>0.32876712328767121</v>
      </c>
      <c r="F16" s="186"/>
      <c r="G16" s="186"/>
      <c r="H16" s="186"/>
      <c r="I16" s="186"/>
      <c r="L16" s="61"/>
      <c r="X16" s="193"/>
      <c r="Y16" s="193"/>
      <c r="Z16" s="193"/>
      <c r="AA16" s="193"/>
      <c r="AB16" s="240"/>
    </row>
    <row r="17" ht="14.25" customHeight="1" s="191" customFormat="1">
      <c r="A17" s="187"/>
      <c r="B17" s="188"/>
      <c r="C17" s="198" t="s">
        <v>6</v>
      </c>
      <c r="D17" s="199">
        <v>10</v>
      </c>
      <c r="E17" s="200">
        <v>0.136986301369863</v>
      </c>
      <c r="F17" s="186"/>
      <c r="G17" s="186"/>
      <c r="H17" s="186"/>
      <c r="I17" s="186"/>
      <c r="L17" s="61"/>
      <c r="X17" s="193"/>
      <c r="Y17" s="193"/>
      <c r="Z17" s="193"/>
      <c r="AA17" s="193"/>
      <c r="AB17" s="240"/>
    </row>
    <row r="18" ht="14.25" customHeight="1" s="191" customFormat="1">
      <c r="A18" s="187"/>
      <c r="B18" s="188"/>
      <c r="C18" s="198" t="s">
        <v>7</v>
      </c>
      <c r="D18" s="199">
        <v>24</v>
      </c>
      <c r="E18" s="200">
        <v>0.32876712328767121</v>
      </c>
      <c r="F18" s="186"/>
      <c r="G18" s="186"/>
      <c r="H18" s="186"/>
      <c r="I18" s="186"/>
      <c r="L18" s="61"/>
      <c r="X18" s="193"/>
      <c r="Y18" s="193"/>
      <c r="Z18" s="193"/>
      <c r="AA18" s="193"/>
      <c r="AB18" s="240"/>
    </row>
    <row r="19" ht="14.25" customHeight="1" s="191" customFormat="1">
      <c r="A19" s="187"/>
      <c r="B19" s="188"/>
      <c r="C19" s="195">
        <v>60000017</v>
      </c>
      <c r="D19" s="196">
        <v>4</v>
      </c>
      <c r="E19" s="197">
        <v>0.0547945205479452</v>
      </c>
      <c r="F19" s="186"/>
      <c r="G19" s="186"/>
      <c r="H19" s="186"/>
      <c r="I19" s="186"/>
      <c r="L19" s="61"/>
      <c r="X19" s="193"/>
      <c r="Y19" s="193"/>
      <c r="Z19" s="193"/>
      <c r="AA19" s="193"/>
      <c r="AB19" s="240"/>
    </row>
    <row r="20" ht="14.25" customHeight="1" s="191" customFormat="1">
      <c r="A20" s="187"/>
      <c r="B20" s="188"/>
      <c r="C20" s="198" t="s">
        <v>5</v>
      </c>
      <c r="D20" s="199">
        <v>2</v>
      </c>
      <c r="E20" s="200">
        <v>0.0273972602739726</v>
      </c>
      <c r="F20" s="186"/>
      <c r="G20" s="186"/>
      <c r="H20" s="186"/>
      <c r="I20" s="186"/>
      <c r="L20" s="61"/>
      <c r="X20" s="193"/>
      <c r="Y20" s="193"/>
      <c r="Z20" s="193"/>
      <c r="AA20" s="193"/>
      <c r="AB20" s="240"/>
    </row>
    <row r="21" ht="14.25" customHeight="1" s="191" customFormat="1">
      <c r="A21" s="187"/>
      <c r="B21" s="188"/>
      <c r="C21" s="198" t="s">
        <v>6</v>
      </c>
      <c r="D21" s="199">
        <v>0</v>
      </c>
      <c r="E21" s="200">
        <v>0</v>
      </c>
      <c r="F21" s="186"/>
      <c r="G21" s="186"/>
      <c r="H21" s="186"/>
      <c r="I21" s="186"/>
      <c r="L21" s="61"/>
      <c r="X21" s="193"/>
      <c r="Y21" s="193"/>
      <c r="Z21" s="193"/>
      <c r="AA21" s="193"/>
      <c r="AB21" s="240"/>
    </row>
    <row r="22" ht="14.25" customHeight="1" s="191" customFormat="1">
      <c r="A22" s="187"/>
      <c r="B22" s="188"/>
      <c r="C22" s="198" t="s">
        <v>7</v>
      </c>
      <c r="D22" s="199">
        <v>2</v>
      </c>
      <c r="E22" s="200">
        <v>0.0273972602739726</v>
      </c>
      <c r="F22" s="186"/>
      <c r="G22" s="186"/>
      <c r="H22" s="186"/>
      <c r="I22" s="186"/>
      <c r="L22" s="61"/>
      <c r="X22" s="193"/>
      <c r="Y22" s="193"/>
      <c r="Z22" s="193"/>
      <c r="AA22" s="193"/>
      <c r="AB22" s="240"/>
    </row>
    <row r="23" ht="14.25" customHeight="1" s="191" customFormat="1">
      <c r="A23" s="187"/>
      <c r="B23" s="188"/>
      <c r="C23" s="195">
        <v>60000018</v>
      </c>
      <c r="D23" s="196">
        <v>8</v>
      </c>
      <c r="E23" s="197">
        <v>0.10958904109589041</v>
      </c>
      <c r="F23" s="186"/>
      <c r="G23" s="186"/>
      <c r="H23" s="186"/>
      <c r="I23" s="186"/>
      <c r="L23" s="61"/>
      <c r="X23" s="193"/>
      <c r="Y23" s="193"/>
      <c r="Z23" s="193"/>
      <c r="AA23" s="193"/>
      <c r="AB23" s="240"/>
    </row>
    <row r="24" ht="14.25" customHeight="1" s="191" customFormat="1">
      <c r="A24" s="187"/>
      <c r="B24" s="188"/>
      <c r="C24" s="198" t="s">
        <v>5</v>
      </c>
      <c r="D24" s="199">
        <v>6</v>
      </c>
      <c r="E24" s="200">
        <v>0.0821917808219178</v>
      </c>
      <c r="F24" s="186"/>
      <c r="G24" s="186"/>
      <c r="H24" s="186"/>
      <c r="I24" s="186"/>
      <c r="L24" s="61"/>
      <c r="X24" s="193"/>
      <c r="Y24" s="193"/>
      <c r="Z24" s="193"/>
      <c r="AA24" s="193"/>
      <c r="AB24" s="240"/>
    </row>
    <row r="25" ht="14.25" customHeight="1" s="191" customFormat="1">
      <c r="A25" s="187"/>
      <c r="B25" s="188"/>
      <c r="C25" s="198" t="s">
        <v>6</v>
      </c>
      <c r="D25" s="199">
        <v>0</v>
      </c>
      <c r="E25" s="200">
        <v>0</v>
      </c>
      <c r="F25" s="186"/>
      <c r="G25" s="186"/>
      <c r="H25" s="186"/>
      <c r="I25" s="186"/>
      <c r="L25" s="61"/>
      <c r="X25" s="193"/>
      <c r="Y25" s="193"/>
      <c r="Z25" s="193"/>
      <c r="AA25" s="193"/>
      <c r="AB25" s="240"/>
    </row>
    <row r="26" ht="14.25" customHeight="1" s="191" customFormat="1">
      <c r="A26" s="187"/>
      <c r="B26" s="188"/>
      <c r="C26" s="198" t="s">
        <v>7</v>
      </c>
      <c r="D26" s="199">
        <v>2</v>
      </c>
      <c r="E26" s="200">
        <v>0.0273972602739726</v>
      </c>
      <c r="F26" s="186"/>
      <c r="G26" s="186"/>
      <c r="H26" s="186"/>
      <c r="I26" s="186"/>
      <c r="L26" s="61"/>
      <c r="X26" s="193"/>
      <c r="Y26" s="193"/>
      <c r="Z26" s="193"/>
      <c r="AA26" s="193"/>
      <c r="AB26" s="240"/>
    </row>
    <row r="27" ht="14.25" customHeight="1" s="191" customFormat="1">
      <c r="A27" s="187"/>
      <c r="B27" s="188"/>
      <c r="C27" s="195">
        <v>60000087</v>
      </c>
      <c r="D27" s="196">
        <v>3</v>
      </c>
      <c r="E27" s="197">
        <v>0.0410958904109589</v>
      </c>
      <c r="F27" s="186"/>
      <c r="G27" s="186"/>
      <c r="H27" s="186"/>
      <c r="I27" s="186"/>
      <c r="L27" s="61"/>
      <c r="X27" s="193"/>
      <c r="Y27" s="193"/>
      <c r="Z27" s="193"/>
      <c r="AA27" s="193"/>
      <c r="AB27" s="240"/>
    </row>
    <row r="28" ht="14.25" customHeight="1" s="191" customFormat="1">
      <c r="A28" s="187"/>
      <c r="B28" s="188"/>
      <c r="C28" s="198" t="s">
        <v>5</v>
      </c>
      <c r="D28" s="199">
        <v>1</v>
      </c>
      <c r="E28" s="200">
        <v>0.0136986301369863</v>
      </c>
      <c r="F28" s="186"/>
      <c r="G28" s="186"/>
      <c r="H28" s="186"/>
      <c r="I28" s="186"/>
      <c r="L28" s="61"/>
      <c r="X28" s="193"/>
      <c r="Y28" s="193"/>
      <c r="Z28" s="193"/>
      <c r="AA28" s="193"/>
      <c r="AB28" s="240"/>
    </row>
    <row r="29" ht="14.25" customHeight="1" s="191" customFormat="1">
      <c r="A29" s="187"/>
      <c r="B29" s="188"/>
      <c r="C29" s="198" t="s">
        <v>6</v>
      </c>
      <c r="D29" s="199">
        <v>0</v>
      </c>
      <c r="E29" s="200">
        <v>0</v>
      </c>
      <c r="F29" s="186"/>
      <c r="G29" s="186"/>
      <c r="H29" s="186"/>
      <c r="I29" s="186"/>
      <c r="L29" s="61"/>
      <c r="X29" s="193"/>
      <c r="Y29" s="193"/>
      <c r="Z29" s="193"/>
      <c r="AA29" s="193"/>
      <c r="AB29" s="240"/>
    </row>
    <row r="30" ht="14.25" customHeight="1" s="191" customFormat="1">
      <c r="A30" s="187"/>
      <c r="B30" s="188"/>
      <c r="C30" s="198" t="s">
        <v>7</v>
      </c>
      <c r="D30" s="199">
        <v>2</v>
      </c>
      <c r="E30" s="200">
        <v>0.0273972602739726</v>
      </c>
      <c r="F30" s="186"/>
      <c r="G30" s="186"/>
      <c r="H30" s="186"/>
      <c r="I30" s="186"/>
      <c r="L30" s="61"/>
      <c r="X30" s="193"/>
      <c r="Y30" s="193"/>
      <c r="Z30" s="193"/>
      <c r="AA30" s="193"/>
      <c r="AB30" s="240"/>
    </row>
    <row r="31" ht="14.25" customHeight="1" s="191" customFormat="1">
      <c r="A31" s="187"/>
      <c r="B31" s="188"/>
      <c r="C31" s="201" t="s">
        <v>8</v>
      </c>
      <c r="D31" s="152">
        <v>73</v>
      </c>
      <c r="E31" s="153">
        <v>1</v>
      </c>
      <c r="F31" s="186"/>
      <c r="G31" s="186"/>
      <c r="H31" s="186"/>
      <c r="I31" s="186"/>
      <c r="L31" s="61"/>
      <c r="AB31" s="241"/>
    </row>
    <row r="32" ht="14.25" customHeight="1">
      <c r="B32" s="12"/>
      <c r="L32" s="61"/>
    </row>
    <row r="33" ht="14.25" customHeight="1">
      <c r="B33" s="12"/>
      <c r="L33" s="61"/>
    </row>
    <row r="34" ht="14.25" customHeight="1">
      <c r="B34" s="12"/>
      <c r="L34" s="61"/>
    </row>
    <row r="35" ht="14.25" customHeight="1">
      <c r="B35" s="12"/>
      <c r="L35" s="61"/>
    </row>
    <row r="36" ht="14.25" customHeight="1">
      <c r="B36" s="12"/>
      <c r="L36" s="61"/>
    </row>
    <row r="37" ht="14.25" customHeight="1">
      <c r="B37" s="12"/>
      <c r="L37" s="61"/>
    </row>
    <row r="38" ht="14.25" customHeight="1">
      <c r="B38" s="12"/>
      <c r="L38" s="61"/>
    </row>
    <row r="39" ht="14.25" customHeight="1">
      <c r="B39" s="12"/>
      <c r="L39" s="61"/>
    </row>
    <row r="40" ht="14.25" customHeight="1">
      <c r="B40" s="12"/>
      <c r="L40" s="61"/>
    </row>
    <row r="41" ht="14.25" customHeight="1">
      <c r="B41" s="12"/>
      <c r="L41" s="61"/>
    </row>
    <row r="42" ht="14.25" customHeight="1">
      <c r="B42" s="12"/>
      <c r="L42" s="61"/>
    </row>
    <row r="43" ht="14.25" customHeight="1">
      <c r="B43" s="12"/>
      <c r="L43" s="61"/>
    </row>
    <row r="44" ht="14.25" customHeight="1">
      <c r="B44" s="12"/>
      <c r="L44" s="61"/>
    </row>
    <row r="45" ht="7.5" customHeight="1">
      <c r="B45" s="13"/>
      <c r="C45" s="14"/>
      <c r="D45" s="14"/>
      <c r="E45" s="14"/>
      <c r="F45" s="14"/>
      <c r="G45" s="14"/>
      <c r="H45" s="14"/>
      <c r="I45" s="14"/>
      <c r="J45" s="14"/>
      <c r="K45" s="14"/>
      <c r="L45" s="62"/>
    </row>
  </sheetData>
  <mergeCells>
    <mergeCell ref="C8:K8"/>
  </mergeCells>
  <pageMargins left="0.70866141732283472" right="0.70866141732283472" top="0.74803149606299213" bottom="0.74803149606299213" header="0.31496062992125984" footer="0.31496062992125984"/>
  <pageSetup paperSize="9" scale="3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7"/>
  <sheetViews>
    <sheetView showGridLines="0" zoomScale="85" zoomScaleNormal="85" workbookViewId="0">
      <selection activeCell="C4" sqref="C4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8" width="11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4" width="11.42578125" customWidth="1"/>
    <col min="15" max="15" width="11.42578125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8" width="11.42578125" customWidth="1"/>
  </cols>
  <sheetData>
    <row r="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U2" s="45"/>
    </row>
    <row r="3" ht="15" customHeight="1">
      <c r="B3" s="12"/>
      <c r="Q3" s="61"/>
    </row>
    <row r="4" ht="15" customHeight="1">
      <c r="B4" s="12"/>
      <c r="Q4" s="61"/>
    </row>
    <row r="5" ht="15" customHeight="1">
      <c r="B5" s="12"/>
      <c r="Q5" s="61"/>
    </row>
    <row r="6" ht="15" customHeight="1">
      <c r="B6" s="12"/>
      <c r="Q6" s="61"/>
    </row>
    <row r="7" hidden="1" ht="15" customHeight="1">
      <c r="B7" s="12"/>
      <c r="Q7" s="61"/>
    </row>
    <row r="8" ht="60" customHeight="1">
      <c r="B8" s="12"/>
      <c r="C8" s="253" t="e">
        <f>'Page de garde'!C13&amp;" : Démographie des Assurés vue au "&amp;#REF!</f>
        <v>#REF!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5"/>
      <c r="Q8" s="61"/>
    </row>
    <row r="9" ht="15" customHeight="1">
      <c r="B9" s="12"/>
      <c r="Q9" s="61"/>
    </row>
    <row r="10" ht="15" customHeight="1">
      <c r="B10" s="12"/>
      <c r="Q10" s="61"/>
    </row>
    <row r="11" ht="15" customHeight="1">
      <c r="B11" s="12"/>
      <c r="C11" s="117" t="s">
        <v>346</v>
      </c>
      <c r="K11" s="118" t="s">
        <v>347</v>
      </c>
      <c r="Q11" s="61"/>
    </row>
    <row r="12" ht="30" customHeight="1">
      <c r="B12" s="12"/>
      <c r="Q12" s="61"/>
    </row>
    <row r="13" ht="45.75">
      <c r="B13" s="12"/>
      <c r="C13" s="24"/>
      <c r="D13" s="230" t="s">
        <v>3</v>
      </c>
      <c r="E13" s="237" t="s">
        <v>348</v>
      </c>
      <c r="F13" s="231" t="s">
        <v>349</v>
      </c>
      <c r="K13" s="27" t="s">
        <v>350</v>
      </c>
      <c r="L13" s="27" t="s">
        <v>182</v>
      </c>
      <c r="M13" s="27" t="s">
        <v>185</v>
      </c>
      <c r="N13" s="41" t="s">
        <v>8</v>
      </c>
      <c r="Q13" s="61"/>
    </row>
    <row r="14" ht="15" customHeight="1">
      <c r="B14" s="12"/>
      <c r="C14" s="25" t="s">
        <v>182</v>
      </c>
      <c r="D14" s="234">
        <v>2</v>
      </c>
      <c r="E14" s="243">
        <v>54</v>
      </c>
      <c r="F14" s="232"/>
      <c r="K14" s="25" t="s">
        <v>184</v>
      </c>
      <c r="L14" s="28">
        <v>0</v>
      </c>
      <c r="M14" s="29">
        <v>1</v>
      </c>
      <c r="N14" s="39">
        <v>1</v>
      </c>
      <c r="Q14" s="61"/>
    </row>
    <row r="15" ht="15" customHeight="1">
      <c r="B15" s="12"/>
      <c r="C15" s="147" t="s">
        <v>185</v>
      </c>
      <c r="D15" s="235">
        <v>31</v>
      </c>
      <c r="E15" s="244">
        <v>45.774193548387096</v>
      </c>
      <c r="F15" s="232"/>
      <c r="K15" s="25" t="s">
        <v>187</v>
      </c>
      <c r="L15" s="28">
        <v>0</v>
      </c>
      <c r="M15" s="29">
        <v>4</v>
      </c>
      <c r="N15" s="39">
        <v>4</v>
      </c>
      <c r="Q15" s="61"/>
    </row>
    <row r="16" ht="15" customHeight="1">
      <c r="B16" s="12"/>
      <c r="C16" s="151" t="s">
        <v>8</v>
      </c>
      <c r="D16" s="236">
        <v>33</v>
      </c>
      <c r="E16" s="245">
        <v>46.272727272727273</v>
      </c>
      <c r="F16" s="233"/>
      <c r="K16" s="25" t="s">
        <v>189</v>
      </c>
      <c r="L16" s="28">
        <v>0</v>
      </c>
      <c r="M16" s="29">
        <v>0</v>
      </c>
      <c r="N16" s="39">
        <v>0</v>
      </c>
      <c r="Q16" s="61"/>
    </row>
    <row r="17" ht="15" customHeight="1">
      <c r="B17" s="12"/>
      <c r="K17" s="25" t="s">
        <v>190</v>
      </c>
      <c r="L17" s="28">
        <v>0</v>
      </c>
      <c r="M17" s="29">
        <v>3</v>
      </c>
      <c r="N17" s="39">
        <v>3</v>
      </c>
      <c r="Q17" s="61"/>
    </row>
    <row r="18" ht="15" customHeight="1">
      <c r="B18" s="12"/>
      <c r="K18" s="25" t="s">
        <v>191</v>
      </c>
      <c r="L18" s="28">
        <v>0</v>
      </c>
      <c r="M18" s="29">
        <v>5</v>
      </c>
      <c r="N18" s="39">
        <v>5</v>
      </c>
      <c r="Q18" s="61"/>
    </row>
    <row r="19" ht="15" customHeight="1">
      <c r="B19" s="12"/>
      <c r="K19" s="25" t="s">
        <v>192</v>
      </c>
      <c r="L19" s="28">
        <v>1</v>
      </c>
      <c r="M19" s="29">
        <v>4</v>
      </c>
      <c r="N19" s="39">
        <v>5</v>
      </c>
      <c r="Q19" s="61"/>
    </row>
    <row r="20" ht="15" customHeight="1">
      <c r="B20" s="12"/>
      <c r="K20" s="25" t="s">
        <v>193</v>
      </c>
      <c r="L20" s="28">
        <v>0</v>
      </c>
      <c r="M20" s="29">
        <v>7</v>
      </c>
      <c r="N20" s="39">
        <v>7</v>
      </c>
      <c r="Q20" s="61"/>
    </row>
    <row r="21" ht="15" customHeight="1">
      <c r="B21" s="12"/>
      <c r="K21" s="25" t="s">
        <v>194</v>
      </c>
      <c r="L21" s="28">
        <v>1</v>
      </c>
      <c r="M21" s="29">
        <v>4</v>
      </c>
      <c r="N21" s="39">
        <v>5</v>
      </c>
      <c r="Q21" s="61"/>
    </row>
    <row r="22" ht="15" customHeight="1">
      <c r="B22" s="12"/>
      <c r="K22" s="25" t="s">
        <v>195</v>
      </c>
      <c r="L22" s="28">
        <v>0</v>
      </c>
      <c r="M22" s="29">
        <v>3</v>
      </c>
      <c r="N22" s="39">
        <v>3</v>
      </c>
      <c r="Q22" s="61"/>
    </row>
    <row r="23" ht="15" customHeight="1">
      <c r="B23" s="12"/>
      <c r="K23" s="26" t="s">
        <v>8</v>
      </c>
      <c r="L23" s="30">
        <v>2</v>
      </c>
      <c r="M23" s="31">
        <v>31</v>
      </c>
      <c r="N23" s="40">
        <v>33</v>
      </c>
      <c r="Q23" s="61"/>
    </row>
    <row r="24" ht="15" customHeight="1">
      <c r="B24" s="12"/>
      <c r="Q24" s="61"/>
    </row>
    <row r="25" ht="15" customHeight="1">
      <c r="B25" s="12"/>
      <c r="Q25" s="61"/>
    </row>
    <row r="26" ht="15" customHeight="1">
      <c r="B26" s="12"/>
      <c r="Q26" s="61"/>
    </row>
    <row r="27" ht="15" customHeight="1">
      <c r="B27" s="12"/>
      <c r="Q27" s="61"/>
    </row>
    <row r="28" ht="15" customHeight="1">
      <c r="B28" s="12"/>
      <c r="Q28" s="61"/>
    </row>
    <row r="29" ht="15" customHeight="1">
      <c r="B29" s="12"/>
      <c r="Q29" s="61"/>
    </row>
    <row r="30">
      <c r="B30" s="12"/>
      <c r="Q30" s="61"/>
    </row>
    <row r="31" ht="12" customHeight="1">
      <c r="B31" s="12"/>
      <c r="Q31" s="61"/>
    </row>
    <row r="32" ht="15" customHeight="1">
      <c r="B32" s="12"/>
      <c r="Q32" s="61"/>
    </row>
    <row r="33" ht="15" customHeight="1">
      <c r="B33" s="12"/>
      <c r="Q33" s="61"/>
    </row>
    <row r="34" ht="15" customHeight="1">
      <c r="B34" s="12"/>
      <c r="C34" s="118" t="s">
        <v>351</v>
      </c>
      <c r="K34" s="258"/>
      <c r="L34" s="258"/>
      <c r="M34" s="258"/>
      <c r="N34" s="258"/>
      <c r="O34" s="258"/>
      <c r="P34" s="258"/>
      <c r="Q34" s="61"/>
    </row>
    <row r="35" ht="15" customHeight="1">
      <c r="B35" s="12"/>
      <c r="K35" s="258"/>
      <c r="L35" s="258"/>
      <c r="M35" s="258"/>
      <c r="N35" s="258"/>
      <c r="O35" s="258"/>
      <c r="P35" s="258"/>
      <c r="Q35" s="61"/>
    </row>
    <row r="36" ht="30" customHeight="1">
      <c r="B36" s="12"/>
      <c r="C36" s="23"/>
      <c r="D36" s="230" t="s">
        <v>3</v>
      </c>
      <c r="E36" s="119" t="s">
        <v>348</v>
      </c>
      <c r="K36" s="258"/>
      <c r="L36" s="258"/>
      <c r="M36" s="258"/>
      <c r="N36" s="258"/>
      <c r="O36" s="258"/>
      <c r="P36" s="258"/>
      <c r="Q36" s="61"/>
    </row>
    <row r="37" ht="15" customHeight="1">
      <c r="B37" s="12"/>
      <c r="C37" s="120" t="s">
        <v>186</v>
      </c>
      <c r="D37" s="32">
        <v>33</v>
      </c>
      <c r="E37" s="33">
        <v>46.272727272727273</v>
      </c>
      <c r="K37" s="258"/>
      <c r="L37" s="258"/>
      <c r="M37" s="258"/>
      <c r="N37" s="258"/>
      <c r="O37" s="258"/>
      <c r="P37" s="258"/>
      <c r="Q37" s="61"/>
    </row>
    <row r="38" ht="15" customHeight="1">
      <c r="B38" s="12"/>
      <c r="C38" s="121" t="s">
        <v>188</v>
      </c>
      <c r="D38" s="34">
        <v>10</v>
      </c>
      <c r="E38" s="35">
        <v>50.5</v>
      </c>
      <c r="K38" s="258"/>
      <c r="L38" s="258"/>
      <c r="M38" s="258"/>
      <c r="N38" s="258"/>
      <c r="O38" s="258"/>
      <c r="P38" s="258"/>
      <c r="Q38" s="61"/>
    </row>
    <row r="39" ht="15" customHeight="1">
      <c r="B39" s="12"/>
      <c r="C39" s="122" t="s">
        <v>183</v>
      </c>
      <c r="D39" s="34">
        <v>30</v>
      </c>
      <c r="E39" s="35">
        <v>15.3</v>
      </c>
      <c r="K39" s="258"/>
      <c r="L39" s="258"/>
      <c r="M39" s="258"/>
      <c r="N39" s="258"/>
      <c r="O39" s="258"/>
      <c r="P39" s="258"/>
      <c r="Q39" s="61"/>
    </row>
    <row r="40" ht="15" customHeight="1">
      <c r="B40" s="12"/>
      <c r="C40" s="123" t="s">
        <v>8</v>
      </c>
      <c r="D40" s="36">
        <v>73</v>
      </c>
      <c r="E40" s="37"/>
      <c r="K40" s="258"/>
      <c r="L40" s="258"/>
      <c r="M40" s="258"/>
      <c r="N40" s="258"/>
      <c r="O40" s="258"/>
      <c r="P40" s="258"/>
      <c r="Q40" s="61"/>
    </row>
    <row r="41" ht="15" customHeight="1">
      <c r="B41" s="12"/>
      <c r="C41" s="4"/>
      <c r="D41" s="4"/>
      <c r="E41" s="4"/>
      <c r="K41" s="258"/>
      <c r="L41" s="258"/>
      <c r="M41" s="258"/>
      <c r="N41" s="258"/>
      <c r="O41" s="258"/>
      <c r="P41" s="258"/>
      <c r="Q41" s="61"/>
    </row>
    <row r="42" ht="15" customHeight="1">
      <c r="B42" s="12"/>
      <c r="C42" s="123" t="s">
        <v>352</v>
      </c>
      <c r="D42" s="38"/>
      <c r="E42" s="124">
        <f>D40/D16</f>
        <v>2.2121212121212119</v>
      </c>
      <c r="K42" s="258"/>
      <c r="L42" s="258"/>
      <c r="M42" s="258"/>
      <c r="N42" s="258"/>
      <c r="O42" s="258"/>
      <c r="P42" s="258"/>
      <c r="Q42" s="61"/>
    </row>
    <row r="43" ht="15" customHeight="1">
      <c r="B43" s="12"/>
      <c r="Q43" s="61"/>
    </row>
    <row r="44" ht="15" customHeight="1">
      <c r="B44" s="12"/>
      <c r="Q44" s="61"/>
    </row>
    <row r="45" ht="15" customHeight="1">
      <c r="B45" s="12"/>
      <c r="Q45" s="61"/>
    </row>
    <row r="46" ht="15" customHeight="1" s="77" customFormat="1">
      <c r="B46" s="81"/>
      <c r="Q46" s="82"/>
    </row>
    <row r="47" ht="15" customHeight="1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62"/>
    </row>
    <row r="48" ht="15" customHeight="1"/>
  </sheetData>
  <mergeCells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  <pageSetUpPr fitToPage="1"/>
  </sheetPr>
  <dimension ref="A1:V111"/>
  <sheetViews>
    <sheetView showGridLines="0" topLeftCell="A5" zoomScale="70" zoomScaleNormal="70" workbookViewId="0">
      <selection sqref="A1:XFD1048576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>
      <c r="B11" s="12"/>
      <c r="R11" s="61"/>
    </row>
    <row r="12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281</v>
      </c>
      <c r="D15" s="137"/>
      <c r="E15" s="65">
        <v>0</v>
      </c>
      <c r="F15" s="74">
        <v>0</v>
      </c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38"/>
      <c r="O15" s="66">
        <v>65.2403646308113</v>
      </c>
      <c r="P15" s="67">
        <v>0.017036384046037075</v>
      </c>
      <c r="Q15" s="67">
        <v>0.76667046357425872</v>
      </c>
      <c r="R15" s="61"/>
    </row>
    <row r="16" ht="15" customHeight="1">
      <c r="B16" s="12"/>
      <c r="C16" s="176"/>
      <c r="D16" s="177" t="s">
        <v>282</v>
      </c>
      <c r="E16" s="178">
        <v>0</v>
      </c>
      <c r="F16" s="179">
        <v>0</v>
      </c>
      <c r="G16" s="180">
        <v>0</v>
      </c>
      <c r="H16" s="180">
        <v>0</v>
      </c>
      <c r="I16" s="180">
        <v>0</v>
      </c>
      <c r="J16" s="180">
        <v>0</v>
      </c>
      <c r="K16" s="180"/>
      <c r="L16" s="181">
        <v>0</v>
      </c>
      <c r="M16" s="181">
        <v>0</v>
      </c>
      <c r="N16" s="182"/>
      <c r="O16" s="180">
        <v>13.346117404737377</v>
      </c>
      <c r="P16" s="181">
        <v>0.0030848111738726778</v>
      </c>
      <c r="Q16" s="181">
        <v>0.85126539150370606</v>
      </c>
      <c r="R16" s="61"/>
    </row>
    <row r="17" ht="15" customHeight="1">
      <c r="B17" s="12"/>
      <c r="C17" s="176"/>
      <c r="D17" s="177" t="s">
        <v>283</v>
      </c>
      <c r="E17" s="178">
        <v>0</v>
      </c>
      <c r="F17" s="179">
        <v>0</v>
      </c>
      <c r="G17" s="180">
        <v>0</v>
      </c>
      <c r="H17" s="180">
        <v>0</v>
      </c>
      <c r="I17" s="180">
        <v>0</v>
      </c>
      <c r="J17" s="180">
        <v>0</v>
      </c>
      <c r="K17" s="180"/>
      <c r="L17" s="181">
        <v>0</v>
      </c>
      <c r="M17" s="181">
        <v>0</v>
      </c>
      <c r="N17" s="182"/>
      <c r="O17" s="180">
        <v>0.73846153846153828</v>
      </c>
      <c r="P17" s="181">
        <v>2.285207535502344E-06</v>
      </c>
      <c r="Q17" s="181">
        <v>0.12121212121212122</v>
      </c>
      <c r="R17" s="61"/>
    </row>
    <row r="18" ht="15" customHeight="1">
      <c r="B18" s="12"/>
      <c r="C18" s="176"/>
      <c r="D18" s="177" t="s">
        <v>284</v>
      </c>
      <c r="E18" s="178">
        <v>0</v>
      </c>
      <c r="F18" s="179">
        <v>0</v>
      </c>
      <c r="G18" s="180">
        <v>0</v>
      </c>
      <c r="H18" s="180">
        <v>0</v>
      </c>
      <c r="I18" s="180">
        <v>0</v>
      </c>
      <c r="J18" s="180">
        <v>0</v>
      </c>
      <c r="K18" s="180"/>
      <c r="L18" s="181">
        <v>0</v>
      </c>
      <c r="M18" s="181">
        <v>0</v>
      </c>
      <c r="N18" s="182"/>
      <c r="O18" s="180">
        <v>630</v>
      </c>
      <c r="P18" s="181">
        <v>0.00029993348903468271</v>
      </c>
      <c r="Q18" s="181">
        <v>1</v>
      </c>
      <c r="R18" s="61"/>
    </row>
    <row r="19" ht="15" customHeight="1">
      <c r="B19" s="12"/>
      <c r="C19" s="176"/>
      <c r="D19" s="177" t="s">
        <v>285</v>
      </c>
      <c r="E19" s="178">
        <v>0</v>
      </c>
      <c r="F19" s="179">
        <v>0</v>
      </c>
      <c r="G19" s="180">
        <v>0</v>
      </c>
      <c r="H19" s="180">
        <v>0</v>
      </c>
      <c r="I19" s="180">
        <v>0</v>
      </c>
      <c r="J19" s="180">
        <v>0</v>
      </c>
      <c r="K19" s="180"/>
      <c r="L19" s="181">
        <v>0</v>
      </c>
      <c r="M19" s="181">
        <v>0</v>
      </c>
      <c r="N19" s="182"/>
      <c r="O19" s="180">
        <v>253.33333333333334</v>
      </c>
      <c r="P19" s="181">
        <v>0.0018091226322726893</v>
      </c>
      <c r="Q19" s="181">
        <v>0.69504256384576868</v>
      </c>
      <c r="R19" s="61"/>
    </row>
    <row r="20" ht="15" customHeight="1">
      <c r="B20" s="12"/>
      <c r="C20" s="176"/>
      <c r="D20" s="177" t="s">
        <v>286</v>
      </c>
      <c r="E20" s="178">
        <v>0</v>
      </c>
      <c r="F20" s="179">
        <v>0</v>
      </c>
      <c r="G20" s="180">
        <v>0</v>
      </c>
      <c r="H20" s="180">
        <v>0</v>
      </c>
      <c r="I20" s="180">
        <v>0</v>
      </c>
      <c r="J20" s="180">
        <v>0</v>
      </c>
      <c r="K20" s="180"/>
      <c r="L20" s="181">
        <v>0</v>
      </c>
      <c r="M20" s="181">
        <v>0</v>
      </c>
      <c r="N20" s="182"/>
      <c r="O20" s="180">
        <v>304.84848484848487</v>
      </c>
      <c r="P20" s="181">
        <v>0.002394707063245165</v>
      </c>
      <c r="Q20" s="181">
        <v>0.738105443634805</v>
      </c>
      <c r="R20" s="61"/>
    </row>
    <row r="21" ht="15" customHeight="1">
      <c r="B21" s="12"/>
      <c r="C21" s="176"/>
      <c r="D21" s="177" t="s">
        <v>63</v>
      </c>
      <c r="E21" s="178">
        <v>0</v>
      </c>
      <c r="F21" s="179">
        <v>0</v>
      </c>
      <c r="G21" s="180">
        <v>0</v>
      </c>
      <c r="H21" s="180">
        <v>0</v>
      </c>
      <c r="I21" s="180">
        <v>0</v>
      </c>
      <c r="J21" s="180">
        <v>0</v>
      </c>
      <c r="K21" s="180"/>
      <c r="L21" s="181">
        <v>0</v>
      </c>
      <c r="M21" s="181">
        <v>0</v>
      </c>
      <c r="N21" s="182"/>
      <c r="O21" s="180">
        <v>826.66666666666663</v>
      </c>
      <c r="P21" s="181">
        <v>0.0094455244800763574</v>
      </c>
      <c r="Q21" s="181">
        <v>0.75058999597075926</v>
      </c>
      <c r="R21" s="61"/>
    </row>
    <row r="22" ht="15" customHeight="1">
      <c r="B22" s="12"/>
      <c r="C22" s="136" t="s">
        <v>55</v>
      </c>
      <c r="D22" s="137"/>
      <c r="E22" s="65">
        <v>0</v>
      </c>
      <c r="F22" s="74">
        <v>0</v>
      </c>
      <c r="G22" s="66">
        <v>0</v>
      </c>
      <c r="H22" s="66">
        <v>0</v>
      </c>
      <c r="I22" s="66">
        <v>0</v>
      </c>
      <c r="J22" s="66">
        <v>0</v>
      </c>
      <c r="K22" s="66"/>
      <c r="L22" s="67">
        <v>0</v>
      </c>
      <c r="M22" s="67">
        <v>0</v>
      </c>
      <c r="N22" s="138"/>
      <c r="O22" s="66">
        <v>120.60686274509804</v>
      </c>
      <c r="P22" s="67">
        <v>0.0014641872177602235</v>
      </c>
      <c r="Q22" s="67">
        <v>0.91896185367609284</v>
      </c>
      <c r="R22" s="61"/>
    </row>
    <row r="23" ht="15" customHeight="1">
      <c r="B23" s="12"/>
      <c r="C23" s="176"/>
      <c r="D23" s="177" t="s">
        <v>278</v>
      </c>
      <c r="E23" s="178">
        <v>0</v>
      </c>
      <c r="F23" s="179">
        <v>0</v>
      </c>
      <c r="G23" s="180">
        <v>0</v>
      </c>
      <c r="H23" s="180">
        <v>0</v>
      </c>
      <c r="I23" s="180">
        <v>0</v>
      </c>
      <c r="J23" s="180">
        <v>0</v>
      </c>
      <c r="K23" s="180"/>
      <c r="L23" s="181">
        <v>0</v>
      </c>
      <c r="M23" s="181">
        <v>0</v>
      </c>
      <c r="N23" s="182"/>
      <c r="O23" s="180">
        <v>4.5</v>
      </c>
      <c r="P23" s="181">
        <v>1.0711910322667239E-05</v>
      </c>
      <c r="Q23" s="181">
        <v>1</v>
      </c>
      <c r="R23" s="61"/>
    </row>
    <row r="24" ht="15" customHeight="1">
      <c r="B24" s="12"/>
      <c r="C24" s="176"/>
      <c r="D24" s="177" t="s">
        <v>60</v>
      </c>
      <c r="E24" s="178">
        <v>0</v>
      </c>
      <c r="F24" s="179">
        <v>0</v>
      </c>
      <c r="G24" s="180">
        <v>0</v>
      </c>
      <c r="H24" s="180">
        <v>0</v>
      </c>
      <c r="I24" s="180">
        <v>0</v>
      </c>
      <c r="J24" s="180">
        <v>0</v>
      </c>
      <c r="K24" s="180"/>
      <c r="L24" s="181">
        <v>0</v>
      </c>
      <c r="M24" s="181">
        <v>0</v>
      </c>
      <c r="N24" s="182"/>
      <c r="O24" s="180">
        <v>500</v>
      </c>
      <c r="P24" s="181">
        <v>0.00023804245161482753</v>
      </c>
      <c r="Q24" s="181">
        <v>0.66666666666666663</v>
      </c>
      <c r="R24" s="61"/>
    </row>
    <row r="25" ht="15" customHeight="1">
      <c r="B25" s="12"/>
      <c r="C25" s="176"/>
      <c r="D25" s="177" t="s">
        <v>279</v>
      </c>
      <c r="E25" s="178">
        <v>0</v>
      </c>
      <c r="F25" s="179">
        <v>0</v>
      </c>
      <c r="G25" s="180">
        <v>0</v>
      </c>
      <c r="H25" s="180">
        <v>0</v>
      </c>
      <c r="I25" s="180">
        <v>0</v>
      </c>
      <c r="J25" s="180">
        <v>0</v>
      </c>
      <c r="K25" s="180"/>
      <c r="L25" s="181">
        <v>0</v>
      </c>
      <c r="M25" s="181">
        <v>0</v>
      </c>
      <c r="N25" s="182"/>
      <c r="O25" s="180">
        <v>363.79</v>
      </c>
      <c r="P25" s="181">
        <v>8.6597463472958116E-05</v>
      </c>
      <c r="Q25" s="181">
        <v>1</v>
      </c>
      <c r="R25" s="61"/>
    </row>
    <row r="26" ht="15" customHeight="1">
      <c r="B26" s="12"/>
      <c r="C26" s="176"/>
      <c r="D26" s="177" t="s">
        <v>111</v>
      </c>
      <c r="E26" s="178">
        <v>0</v>
      </c>
      <c r="F26" s="179">
        <v>0</v>
      </c>
      <c r="G26" s="180">
        <v>0</v>
      </c>
      <c r="H26" s="180">
        <v>0</v>
      </c>
      <c r="I26" s="180">
        <v>0</v>
      </c>
      <c r="J26" s="180">
        <v>0</v>
      </c>
      <c r="K26" s="180"/>
      <c r="L26" s="181">
        <v>0</v>
      </c>
      <c r="M26" s="181">
        <v>0</v>
      </c>
      <c r="N26" s="182"/>
      <c r="O26" s="180">
        <v>53.611111111111114</v>
      </c>
      <c r="P26" s="181">
        <v>0.00045942193161661713</v>
      </c>
      <c r="Q26" s="181">
        <v>0.91469194312796209</v>
      </c>
      <c r="R26" s="61"/>
    </row>
    <row r="27" ht="15" customHeight="1">
      <c r="B27" s="12"/>
      <c r="C27" s="176"/>
      <c r="D27" s="177" t="s">
        <v>280</v>
      </c>
      <c r="E27" s="178">
        <v>0</v>
      </c>
      <c r="F27" s="179">
        <v>0</v>
      </c>
      <c r="G27" s="180">
        <v>0</v>
      </c>
      <c r="H27" s="180">
        <v>0</v>
      </c>
      <c r="I27" s="180">
        <v>0</v>
      </c>
      <c r="J27" s="180">
        <v>0</v>
      </c>
      <c r="K27" s="180"/>
      <c r="L27" s="181">
        <v>0</v>
      </c>
      <c r="M27" s="181">
        <v>0</v>
      </c>
      <c r="N27" s="182"/>
      <c r="O27" s="180">
        <v>1406.0800000000002</v>
      </c>
      <c r="P27" s="181">
        <v>0.00066941346073315345</v>
      </c>
      <c r="Q27" s="181">
        <v>1</v>
      </c>
      <c r="R27" s="61"/>
    </row>
    <row r="28" ht="15" customHeight="1">
      <c r="B28" s="12"/>
      <c r="C28" s="136" t="s">
        <v>274</v>
      </c>
      <c r="D28" s="137"/>
      <c r="E28" s="65">
        <v>0</v>
      </c>
      <c r="F28" s="74">
        <v>0</v>
      </c>
      <c r="G28" s="66">
        <v>0</v>
      </c>
      <c r="H28" s="66">
        <v>0</v>
      </c>
      <c r="I28" s="66">
        <v>0</v>
      </c>
      <c r="J28" s="66">
        <v>0</v>
      </c>
      <c r="K28" s="66"/>
      <c r="L28" s="67">
        <v>0</v>
      </c>
      <c r="M28" s="67">
        <v>0</v>
      </c>
      <c r="N28" s="138"/>
      <c r="O28" s="66">
        <v>34.215586206896553</v>
      </c>
      <c r="P28" s="67">
        <v>0.0011809904934985793</v>
      </c>
      <c r="Q28" s="67">
        <v>0.72565318562875869</v>
      </c>
      <c r="R28" s="61"/>
    </row>
    <row r="29" ht="15" customHeight="1">
      <c r="B29" s="12"/>
      <c r="C29" s="176"/>
      <c r="D29" s="177" t="s">
        <v>65</v>
      </c>
      <c r="E29" s="178">
        <v>0</v>
      </c>
      <c r="F29" s="179">
        <v>0</v>
      </c>
      <c r="G29" s="180">
        <v>0</v>
      </c>
      <c r="H29" s="180">
        <v>0</v>
      </c>
      <c r="I29" s="180">
        <v>0</v>
      </c>
      <c r="J29" s="180">
        <v>0</v>
      </c>
      <c r="K29" s="180"/>
      <c r="L29" s="181">
        <v>0</v>
      </c>
      <c r="M29" s="181">
        <v>0</v>
      </c>
      <c r="N29" s="182"/>
      <c r="O29" s="180">
        <v>34.215586206896553</v>
      </c>
      <c r="P29" s="181">
        <v>0.0011809904934985793</v>
      </c>
      <c r="Q29" s="181">
        <v>0.72565318562875869</v>
      </c>
      <c r="R29" s="61"/>
    </row>
    <row r="30" ht="15" customHeight="1">
      <c r="B30" s="12"/>
      <c r="C30" s="136" t="s">
        <v>67</v>
      </c>
      <c r="D30" s="137"/>
      <c r="E30" s="65">
        <v>129</v>
      </c>
      <c r="F30" s="74">
        <v>1.7671232876712328</v>
      </c>
      <c r="G30" s="66">
        <v>15891.3</v>
      </c>
      <c r="H30" s="66">
        <v>3820.44</v>
      </c>
      <c r="I30" s="66">
        <v>0</v>
      </c>
      <c r="J30" s="66">
        <v>9606.92</v>
      </c>
      <c r="K30" s="66">
        <v>74.47224806201551</v>
      </c>
      <c r="L30" s="67">
        <v>0.23705343604500681</v>
      </c>
      <c r="M30" s="67">
        <v>0.84495038165537129</v>
      </c>
      <c r="N30" s="138"/>
      <c r="O30" s="66">
        <v>79.4575672381569</v>
      </c>
      <c r="P30" s="67">
        <v>0.23277797140679976</v>
      </c>
      <c r="Q30" s="67">
        <v>0.77483369660121415</v>
      </c>
      <c r="R30" s="61"/>
    </row>
    <row r="31" ht="15" customHeight="1">
      <c r="B31" s="12"/>
      <c r="C31" s="176"/>
      <c r="D31" s="177" t="s">
        <v>56</v>
      </c>
      <c r="E31" s="178">
        <v>0</v>
      </c>
      <c r="F31" s="179">
        <v>0</v>
      </c>
      <c r="G31" s="180">
        <v>0</v>
      </c>
      <c r="H31" s="180">
        <v>0</v>
      </c>
      <c r="I31" s="180">
        <v>0</v>
      </c>
      <c r="J31" s="180">
        <v>0</v>
      </c>
      <c r="K31" s="180"/>
      <c r="L31" s="181">
        <v>0</v>
      </c>
      <c r="M31" s="181">
        <v>0</v>
      </c>
      <c r="N31" s="182"/>
      <c r="O31" s="180">
        <v>7.3176926464113</v>
      </c>
      <c r="P31" s="181">
        <v>0.0039559037213119938</v>
      </c>
      <c r="Q31" s="181">
        <v>0.99107234454247373</v>
      </c>
      <c r="R31" s="61"/>
    </row>
    <row r="32" ht="15" customHeight="1">
      <c r="B32" s="12"/>
      <c r="C32" s="176"/>
      <c r="D32" s="177" t="s">
        <v>159</v>
      </c>
      <c r="E32" s="178">
        <v>0</v>
      </c>
      <c r="F32" s="179">
        <v>0</v>
      </c>
      <c r="G32" s="180">
        <v>0</v>
      </c>
      <c r="H32" s="180">
        <v>0</v>
      </c>
      <c r="I32" s="180">
        <v>0</v>
      </c>
      <c r="J32" s="180">
        <v>0</v>
      </c>
      <c r="K32" s="180"/>
      <c r="L32" s="181">
        <v>0</v>
      </c>
      <c r="M32" s="181">
        <v>0</v>
      </c>
      <c r="N32" s="182"/>
      <c r="O32" s="180">
        <v>221.06330543933058</v>
      </c>
      <c r="P32" s="181">
        <v>0.02515353166827302</v>
      </c>
      <c r="Q32" s="181">
        <v>0.80388277007343334</v>
      </c>
      <c r="R32" s="61"/>
    </row>
    <row r="33" ht="15" customHeight="1">
      <c r="B33" s="12"/>
      <c r="C33" s="176"/>
      <c r="D33" s="177" t="s">
        <v>296</v>
      </c>
      <c r="E33" s="178">
        <v>0</v>
      </c>
      <c r="F33" s="179">
        <v>0</v>
      </c>
      <c r="G33" s="180">
        <v>0</v>
      </c>
      <c r="H33" s="180">
        <v>0</v>
      </c>
      <c r="I33" s="180">
        <v>0</v>
      </c>
      <c r="J33" s="180">
        <v>0</v>
      </c>
      <c r="K33" s="180"/>
      <c r="L33" s="181">
        <v>0</v>
      </c>
      <c r="M33" s="181">
        <v>0</v>
      </c>
      <c r="N33" s="182"/>
      <c r="O33" s="180">
        <v>66.046981981981972</v>
      </c>
      <c r="P33" s="181">
        <v>0.0034902807838307955</v>
      </c>
      <c r="Q33" s="181">
        <v>0.56694321641854373</v>
      </c>
      <c r="R33" s="61"/>
    </row>
    <row r="34" ht="15" customHeight="1">
      <c r="B34" s="12"/>
      <c r="C34" s="176"/>
      <c r="D34" s="177" t="s">
        <v>297</v>
      </c>
      <c r="E34" s="178">
        <v>118</v>
      </c>
      <c r="F34" s="179">
        <v>1.6164383561643836</v>
      </c>
      <c r="G34" s="180">
        <v>12041.3</v>
      </c>
      <c r="H34" s="180">
        <v>3050.44</v>
      </c>
      <c r="I34" s="180">
        <v>0</v>
      </c>
      <c r="J34" s="180">
        <v>7076.92</v>
      </c>
      <c r="K34" s="180">
        <v>59.973898305084745</v>
      </c>
      <c r="L34" s="181">
        <v>0.1746249789334802</v>
      </c>
      <c r="M34" s="181">
        <v>0.84105204587544546</v>
      </c>
      <c r="N34" s="182"/>
      <c r="O34" s="180">
        <v>81.574715621645922</v>
      </c>
      <c r="P34" s="181">
        <v>0.12666521406814954</v>
      </c>
      <c r="Q34" s="181">
        <v>0.818452795385523</v>
      </c>
      <c r="R34" s="61"/>
    </row>
    <row r="35" ht="15" customHeight="1">
      <c r="B35" s="12"/>
      <c r="C35" s="176"/>
      <c r="D35" s="177" t="s">
        <v>298</v>
      </c>
      <c r="E35" s="178">
        <v>0</v>
      </c>
      <c r="F35" s="179">
        <v>0</v>
      </c>
      <c r="G35" s="180">
        <v>0</v>
      </c>
      <c r="H35" s="180">
        <v>0</v>
      </c>
      <c r="I35" s="180">
        <v>0</v>
      </c>
      <c r="J35" s="180">
        <v>0</v>
      </c>
      <c r="K35" s="180"/>
      <c r="L35" s="181">
        <v>0</v>
      </c>
      <c r="M35" s="181">
        <v>0</v>
      </c>
      <c r="N35" s="182"/>
      <c r="O35" s="180">
        <v>258.36938294010889</v>
      </c>
      <c r="P35" s="181">
        <v>0.033888087616837821</v>
      </c>
      <c r="Q35" s="181">
        <v>0.66710305762277067</v>
      </c>
      <c r="R35" s="61"/>
    </row>
    <row r="36" ht="15" customHeight="1">
      <c r="B36" s="12"/>
      <c r="C36" s="176"/>
      <c r="D36" s="177" t="s">
        <v>299</v>
      </c>
      <c r="E36" s="178">
        <v>11</v>
      </c>
      <c r="F36" s="179">
        <v>0.15068493150684931</v>
      </c>
      <c r="G36" s="180">
        <v>3850</v>
      </c>
      <c r="H36" s="180">
        <v>770</v>
      </c>
      <c r="I36" s="180">
        <v>0</v>
      </c>
      <c r="J36" s="180">
        <v>2530</v>
      </c>
      <c r="K36" s="180">
        <v>230</v>
      </c>
      <c r="L36" s="181">
        <v>0.062428457111526614</v>
      </c>
      <c r="M36" s="181">
        <v>0.8571428571428571</v>
      </c>
      <c r="N36" s="182"/>
      <c r="O36" s="180">
        <v>214.0994006309148</v>
      </c>
      <c r="P36" s="181">
        <v>0.032311649100594107</v>
      </c>
      <c r="Q36" s="181">
        <v>0.67787574438152409</v>
      </c>
      <c r="R36" s="61"/>
    </row>
    <row r="37" ht="15" customHeight="1">
      <c r="B37" s="12"/>
      <c r="C37" s="176"/>
      <c r="D37" s="177" t="s">
        <v>96</v>
      </c>
      <c r="E37" s="178">
        <v>0</v>
      </c>
      <c r="F37" s="179">
        <v>0</v>
      </c>
      <c r="G37" s="180">
        <v>0</v>
      </c>
      <c r="H37" s="180">
        <v>0</v>
      </c>
      <c r="I37" s="180">
        <v>0</v>
      </c>
      <c r="J37" s="180">
        <v>0</v>
      </c>
      <c r="K37" s="180"/>
      <c r="L37" s="181">
        <v>0</v>
      </c>
      <c r="M37" s="181">
        <v>0</v>
      </c>
      <c r="N37" s="182"/>
      <c r="O37" s="180">
        <v>18.8714312039312</v>
      </c>
      <c r="P37" s="181">
        <v>0.0073133044478023443</v>
      </c>
      <c r="Q37" s="181">
        <v>0.870470414963608</v>
      </c>
      <c r="R37" s="61"/>
    </row>
    <row r="38" ht="15" customHeight="1">
      <c r="B38" s="12"/>
      <c r="C38" s="136" t="s">
        <v>98</v>
      </c>
      <c r="D38" s="137"/>
      <c r="E38" s="65">
        <v>33</v>
      </c>
      <c r="F38" s="74">
        <v>0.45205479452054792</v>
      </c>
      <c r="G38" s="66">
        <v>6932.71</v>
      </c>
      <c r="H38" s="66">
        <v>2466.05</v>
      </c>
      <c r="I38" s="66">
        <v>0</v>
      </c>
      <c r="J38" s="66">
        <v>2492.61</v>
      </c>
      <c r="K38" s="66">
        <v>75.533636363636361</v>
      </c>
      <c r="L38" s="67">
        <v>0.061505848411368517</v>
      </c>
      <c r="M38" s="67">
        <v>0.71525565038779926</v>
      </c>
      <c r="N38" s="138"/>
      <c r="O38" s="66">
        <v>58.382425157923635</v>
      </c>
      <c r="P38" s="67">
        <v>0.10120156307433809</v>
      </c>
      <c r="Q38" s="67">
        <v>0.91552398849854166</v>
      </c>
      <c r="R38" s="61"/>
    </row>
    <row r="39" ht="15" customHeight="1">
      <c r="B39" s="12"/>
      <c r="C39" s="176"/>
      <c r="D39" s="177" t="s">
        <v>100</v>
      </c>
      <c r="E39" s="178">
        <v>0</v>
      </c>
      <c r="F39" s="179">
        <v>0</v>
      </c>
      <c r="G39" s="180">
        <v>0</v>
      </c>
      <c r="H39" s="180">
        <v>0</v>
      </c>
      <c r="I39" s="180">
        <v>0</v>
      </c>
      <c r="J39" s="180">
        <v>0</v>
      </c>
      <c r="K39" s="180"/>
      <c r="L39" s="181">
        <v>0</v>
      </c>
      <c r="M39" s="181">
        <v>0</v>
      </c>
      <c r="N39" s="182"/>
      <c r="O39" s="180">
        <v>131.8705915492958</v>
      </c>
      <c r="P39" s="181">
        <v>0.011143733612443635</v>
      </c>
      <c r="Q39" s="181">
        <v>0.82891753730584361</v>
      </c>
      <c r="R39" s="61"/>
    </row>
    <row r="40" ht="15" customHeight="1">
      <c r="B40" s="12"/>
      <c r="C40" s="176"/>
      <c r="D40" s="177" t="s">
        <v>300</v>
      </c>
      <c r="E40" s="178">
        <v>0</v>
      </c>
      <c r="F40" s="179">
        <v>0</v>
      </c>
      <c r="G40" s="180">
        <v>0</v>
      </c>
      <c r="H40" s="180">
        <v>0</v>
      </c>
      <c r="I40" s="180">
        <v>0</v>
      </c>
      <c r="J40" s="180">
        <v>0</v>
      </c>
      <c r="K40" s="180"/>
      <c r="L40" s="181">
        <v>0</v>
      </c>
      <c r="M40" s="181">
        <v>0</v>
      </c>
      <c r="N40" s="182"/>
      <c r="O40" s="180">
        <v>68.724976958525346</v>
      </c>
      <c r="P40" s="181">
        <v>0.01065000976354932</v>
      </c>
      <c r="Q40" s="181">
        <v>0.936365664596786</v>
      </c>
      <c r="R40" s="61"/>
    </row>
    <row r="41" ht="15" customHeight="1">
      <c r="B41" s="12"/>
      <c r="C41" s="176"/>
      <c r="D41" s="177" t="s">
        <v>301</v>
      </c>
      <c r="E41" s="178">
        <v>0</v>
      </c>
      <c r="F41" s="179">
        <v>0</v>
      </c>
      <c r="G41" s="180">
        <v>0</v>
      </c>
      <c r="H41" s="180">
        <v>0</v>
      </c>
      <c r="I41" s="180">
        <v>0</v>
      </c>
      <c r="J41" s="180">
        <v>0</v>
      </c>
      <c r="K41" s="180"/>
      <c r="L41" s="181">
        <v>0</v>
      </c>
      <c r="M41" s="181">
        <v>0</v>
      </c>
      <c r="N41" s="182"/>
      <c r="O41" s="180">
        <v>6.5</v>
      </c>
      <c r="P41" s="181">
        <v>3.0945518709927579E-06</v>
      </c>
      <c r="Q41" s="181">
        <v>1</v>
      </c>
      <c r="R41" s="61"/>
    </row>
    <row r="42" ht="15" customHeight="1">
      <c r="B42" s="12"/>
      <c r="C42" s="176"/>
      <c r="D42" s="177" t="s">
        <v>302</v>
      </c>
      <c r="E42" s="178">
        <v>0</v>
      </c>
      <c r="F42" s="179">
        <v>0</v>
      </c>
      <c r="G42" s="180">
        <v>0</v>
      </c>
      <c r="H42" s="180">
        <v>0</v>
      </c>
      <c r="I42" s="180">
        <v>0</v>
      </c>
      <c r="J42" s="180">
        <v>0</v>
      </c>
      <c r="K42" s="180"/>
      <c r="L42" s="181">
        <v>0</v>
      </c>
      <c r="M42" s="181">
        <v>0</v>
      </c>
      <c r="N42" s="182"/>
      <c r="O42" s="180">
        <v>11.79</v>
      </c>
      <c r="P42" s="181">
        <v>2.8065205045388167E-06</v>
      </c>
      <c r="Q42" s="181">
        <v>1</v>
      </c>
      <c r="R42" s="61"/>
    </row>
    <row r="43" ht="15" customHeight="1">
      <c r="B43" s="12"/>
      <c r="C43" s="176"/>
      <c r="D43" s="177" t="s">
        <v>101</v>
      </c>
      <c r="E43" s="178">
        <v>2</v>
      </c>
      <c r="F43" s="179">
        <v>0.0273972602739726</v>
      </c>
      <c r="G43" s="180">
        <v>60</v>
      </c>
      <c r="H43" s="180">
        <v>0</v>
      </c>
      <c r="I43" s="180">
        <v>0</v>
      </c>
      <c r="J43" s="180">
        <v>60</v>
      </c>
      <c r="K43" s="180">
        <v>30</v>
      </c>
      <c r="L43" s="181">
        <v>0.0014805167694433188</v>
      </c>
      <c r="M43" s="181">
        <v>1</v>
      </c>
      <c r="N43" s="182"/>
      <c r="O43" s="180">
        <v>55.364401544401595</v>
      </c>
      <c r="P43" s="181">
        <v>0.017066905849183144</v>
      </c>
      <c r="Q43" s="181">
        <v>0.99780247443819958</v>
      </c>
      <c r="R43" s="61"/>
    </row>
    <row r="44" ht="15" customHeight="1">
      <c r="B44" s="12"/>
      <c r="C44" s="176"/>
      <c r="D44" s="177" t="s">
        <v>303</v>
      </c>
      <c r="E44" s="178">
        <v>3</v>
      </c>
      <c r="F44" s="179">
        <v>0.0410958904109589</v>
      </c>
      <c r="G44" s="180">
        <v>72</v>
      </c>
      <c r="H44" s="180">
        <v>0</v>
      </c>
      <c r="I44" s="180">
        <v>0</v>
      </c>
      <c r="J44" s="180">
        <v>72</v>
      </c>
      <c r="K44" s="180">
        <v>24</v>
      </c>
      <c r="L44" s="181">
        <v>0.0017766201233319827</v>
      </c>
      <c r="M44" s="181">
        <v>1</v>
      </c>
      <c r="N44" s="182"/>
      <c r="O44" s="180">
        <v>23.772511848341232</v>
      </c>
      <c r="P44" s="181">
        <v>0.0011940209372999749</v>
      </c>
      <c r="Q44" s="181">
        <v>1</v>
      </c>
      <c r="R44" s="61"/>
    </row>
    <row r="45" ht="15" customHeight="1">
      <c r="B45" s="12"/>
      <c r="C45" s="176"/>
      <c r="D45" s="177" t="s">
        <v>304</v>
      </c>
      <c r="E45" s="178">
        <v>1</v>
      </c>
      <c r="F45" s="179">
        <v>0.0136986301369863</v>
      </c>
      <c r="G45" s="180">
        <v>85.84</v>
      </c>
      <c r="H45" s="180">
        <v>55.8</v>
      </c>
      <c r="I45" s="180">
        <v>0</v>
      </c>
      <c r="J45" s="180">
        <v>30.04</v>
      </c>
      <c r="K45" s="180">
        <v>30.04</v>
      </c>
      <c r="L45" s="181">
        <v>0.00074124539590128828</v>
      </c>
      <c r="M45" s="181">
        <v>1</v>
      </c>
      <c r="N45" s="182"/>
      <c r="O45" s="180">
        <v>35.723216560509549</v>
      </c>
      <c r="P45" s="181">
        <v>0.0026701436035841655</v>
      </c>
      <c r="Q45" s="181">
        <v>0.99943133020107111</v>
      </c>
      <c r="R45" s="61"/>
    </row>
    <row r="46" ht="15" customHeight="1">
      <c r="B46" s="12"/>
      <c r="C46" s="176"/>
      <c r="D46" s="177" t="s">
        <v>305</v>
      </c>
      <c r="E46" s="178">
        <v>0</v>
      </c>
      <c r="F46" s="179">
        <v>0</v>
      </c>
      <c r="G46" s="180">
        <v>0</v>
      </c>
      <c r="H46" s="180">
        <v>0</v>
      </c>
      <c r="I46" s="180">
        <v>0</v>
      </c>
      <c r="J46" s="180">
        <v>0</v>
      </c>
      <c r="K46" s="180"/>
      <c r="L46" s="181">
        <v>0</v>
      </c>
      <c r="M46" s="181">
        <v>0</v>
      </c>
      <c r="N46" s="182"/>
      <c r="O46" s="180">
        <v>1.93</v>
      </c>
      <c r="P46" s="181">
        <v>4.5942193161661715E-07</v>
      </c>
      <c r="Q46" s="181">
        <v>1</v>
      </c>
      <c r="R46" s="61"/>
    </row>
    <row r="47" ht="15" customHeight="1">
      <c r="B47" s="12"/>
      <c r="C47" s="176"/>
      <c r="D47" s="177" t="s">
        <v>306</v>
      </c>
      <c r="E47" s="178">
        <v>0</v>
      </c>
      <c r="F47" s="179">
        <v>0</v>
      </c>
      <c r="G47" s="180">
        <v>0</v>
      </c>
      <c r="H47" s="180">
        <v>0</v>
      </c>
      <c r="I47" s="180">
        <v>0</v>
      </c>
      <c r="J47" s="180">
        <v>0</v>
      </c>
      <c r="K47" s="180"/>
      <c r="L47" s="181">
        <v>0</v>
      </c>
      <c r="M47" s="181">
        <v>0</v>
      </c>
      <c r="N47" s="182"/>
      <c r="O47" s="180">
        <v>315.77582822085895</v>
      </c>
      <c r="P47" s="181">
        <v>0.012252392526594533</v>
      </c>
      <c r="Q47" s="181">
        <v>0.99976601412983768</v>
      </c>
      <c r="R47" s="61"/>
    </row>
    <row r="48" ht="15" customHeight="1">
      <c r="B48" s="12"/>
      <c r="C48" s="176"/>
      <c r="D48" s="177" t="s">
        <v>103</v>
      </c>
      <c r="E48" s="178">
        <v>23</v>
      </c>
      <c r="F48" s="179">
        <v>0.31506849315068491</v>
      </c>
      <c r="G48" s="180">
        <v>6636.43</v>
      </c>
      <c r="H48" s="180">
        <v>2410.25</v>
      </c>
      <c r="I48" s="180">
        <v>0</v>
      </c>
      <c r="J48" s="180">
        <v>2252.13</v>
      </c>
      <c r="K48" s="180">
        <v>97.918695652173923</v>
      </c>
      <c r="L48" s="181">
        <v>0.055571937199439696</v>
      </c>
      <c r="M48" s="181">
        <v>0.7025433855250488</v>
      </c>
      <c r="N48" s="182"/>
      <c r="O48" s="180">
        <v>42.879474671669705</v>
      </c>
      <c r="P48" s="181">
        <v>0.038082821710279394</v>
      </c>
      <c r="Q48" s="181">
        <v>0.82351778978848589</v>
      </c>
      <c r="R48" s="61"/>
    </row>
    <row r="49" ht="15" customHeight="1">
      <c r="B49" s="12"/>
      <c r="C49" s="176"/>
      <c r="D49" s="177" t="s">
        <v>307</v>
      </c>
      <c r="E49" s="178">
        <v>0</v>
      </c>
      <c r="F49" s="179">
        <v>0</v>
      </c>
      <c r="G49" s="180">
        <v>0</v>
      </c>
      <c r="H49" s="180">
        <v>0</v>
      </c>
      <c r="I49" s="180">
        <v>0</v>
      </c>
      <c r="J49" s="180">
        <v>0</v>
      </c>
      <c r="K49" s="180"/>
      <c r="L49" s="181">
        <v>0</v>
      </c>
      <c r="M49" s="181">
        <v>0</v>
      </c>
      <c r="N49" s="182"/>
      <c r="O49" s="180">
        <v>131.5102105263158</v>
      </c>
      <c r="P49" s="181">
        <v>0.0029739762279763</v>
      </c>
      <c r="Q49" s="181">
        <v>0.78946947628619291</v>
      </c>
      <c r="R49" s="61"/>
    </row>
    <row r="50" ht="15" customHeight="1">
      <c r="B50" s="12"/>
      <c r="C50" s="176"/>
      <c r="D50" s="177" t="s">
        <v>104</v>
      </c>
      <c r="E50" s="178">
        <v>4</v>
      </c>
      <c r="F50" s="179">
        <v>0.0547945205479452</v>
      </c>
      <c r="G50" s="180">
        <v>78.44</v>
      </c>
      <c r="H50" s="180">
        <v>0</v>
      </c>
      <c r="I50" s="180">
        <v>0</v>
      </c>
      <c r="J50" s="180">
        <v>78.44</v>
      </c>
      <c r="K50" s="180">
        <v>19.61</v>
      </c>
      <c r="L50" s="181">
        <v>0.0019355289232522322</v>
      </c>
      <c r="M50" s="181">
        <v>1</v>
      </c>
      <c r="N50" s="182"/>
      <c r="O50" s="180">
        <v>18.6902033898305</v>
      </c>
      <c r="P50" s="181">
        <v>0.0013124732416480288</v>
      </c>
      <c r="Q50" s="181">
        <v>1</v>
      </c>
      <c r="R50" s="61"/>
    </row>
    <row r="51" ht="15" customHeight="1">
      <c r="B51" s="12"/>
      <c r="C51" s="176"/>
      <c r="D51" s="177" t="s">
        <v>308</v>
      </c>
      <c r="E51" s="178">
        <v>0</v>
      </c>
      <c r="F51" s="179">
        <v>0</v>
      </c>
      <c r="G51" s="180">
        <v>0</v>
      </c>
      <c r="H51" s="180">
        <v>0</v>
      </c>
      <c r="I51" s="180">
        <v>0</v>
      </c>
      <c r="J51" s="180">
        <v>0</v>
      </c>
      <c r="K51" s="180"/>
      <c r="L51" s="181">
        <v>0</v>
      </c>
      <c r="M51" s="181">
        <v>0</v>
      </c>
      <c r="N51" s="182"/>
      <c r="O51" s="180">
        <v>472.19</v>
      </c>
      <c r="P51" s="181">
        <v>0.00011240126522800542</v>
      </c>
      <c r="Q51" s="181">
        <v>0.60737301107495212</v>
      </c>
      <c r="R51" s="61"/>
    </row>
    <row r="52" ht="15" customHeight="1">
      <c r="B52" s="12"/>
      <c r="C52" s="176"/>
      <c r="D52" s="177" t="s">
        <v>309</v>
      </c>
      <c r="E52" s="178">
        <v>0</v>
      </c>
      <c r="F52" s="179">
        <v>0</v>
      </c>
      <c r="G52" s="180">
        <v>0</v>
      </c>
      <c r="H52" s="180">
        <v>0</v>
      </c>
      <c r="I52" s="180">
        <v>0</v>
      </c>
      <c r="J52" s="180">
        <v>0</v>
      </c>
      <c r="K52" s="180"/>
      <c r="L52" s="181">
        <v>0</v>
      </c>
      <c r="M52" s="181">
        <v>0</v>
      </c>
      <c r="N52" s="182"/>
      <c r="O52" s="180">
        <v>317.64765957446809</v>
      </c>
      <c r="P52" s="181">
        <v>0.0035538404988364712</v>
      </c>
      <c r="Q52" s="181">
        <v>1</v>
      </c>
      <c r="R52" s="61"/>
    </row>
    <row r="53" ht="15" customHeight="1">
      <c r="B53" s="12"/>
      <c r="C53" s="176"/>
      <c r="D53" s="177" t="s">
        <v>310</v>
      </c>
      <c r="E53" s="178">
        <v>0</v>
      </c>
      <c r="F53" s="179">
        <v>0</v>
      </c>
      <c r="G53" s="180">
        <v>0</v>
      </c>
      <c r="H53" s="180">
        <v>0</v>
      </c>
      <c r="I53" s="180">
        <v>0</v>
      </c>
      <c r="J53" s="180">
        <v>0</v>
      </c>
      <c r="K53" s="180"/>
      <c r="L53" s="181">
        <v>0</v>
      </c>
      <c r="M53" s="181">
        <v>0</v>
      </c>
      <c r="N53" s="182"/>
      <c r="O53" s="180">
        <v>52.5</v>
      </c>
      <c r="P53" s="181">
        <v>1.2497228709778446E-05</v>
      </c>
      <c r="Q53" s="181">
        <v>1</v>
      </c>
      <c r="R53" s="61"/>
    </row>
    <row r="54" ht="15" customHeight="1">
      <c r="B54" s="12"/>
      <c r="C54" s="176"/>
      <c r="D54" s="177" t="s">
        <v>311</v>
      </c>
      <c r="E54" s="178">
        <v>0</v>
      </c>
      <c r="F54" s="179">
        <v>0</v>
      </c>
      <c r="G54" s="180">
        <v>0</v>
      </c>
      <c r="H54" s="180">
        <v>0</v>
      </c>
      <c r="I54" s="180">
        <v>0</v>
      </c>
      <c r="J54" s="180">
        <v>0</v>
      </c>
      <c r="K54" s="180"/>
      <c r="L54" s="181">
        <v>0</v>
      </c>
      <c r="M54" s="181">
        <v>0</v>
      </c>
      <c r="N54" s="182"/>
      <c r="O54" s="180">
        <v>52.5</v>
      </c>
      <c r="P54" s="181">
        <v>1.2497228709778446E-05</v>
      </c>
      <c r="Q54" s="181">
        <v>1</v>
      </c>
      <c r="R54" s="61"/>
    </row>
    <row r="55" ht="15" customHeight="1">
      <c r="B55" s="12"/>
      <c r="C55" s="176"/>
      <c r="D55" s="177" t="s">
        <v>312</v>
      </c>
      <c r="E55" s="178">
        <v>0</v>
      </c>
      <c r="F55" s="179">
        <v>0</v>
      </c>
      <c r="G55" s="180">
        <v>0</v>
      </c>
      <c r="H55" s="180">
        <v>0</v>
      </c>
      <c r="I55" s="180">
        <v>0</v>
      </c>
      <c r="J55" s="180">
        <v>0</v>
      </c>
      <c r="K55" s="180"/>
      <c r="L55" s="181">
        <v>0</v>
      </c>
      <c r="M55" s="181">
        <v>0</v>
      </c>
      <c r="N55" s="182"/>
      <c r="O55" s="180">
        <v>30</v>
      </c>
      <c r="P55" s="181">
        <v>7.141273548444826E-06</v>
      </c>
      <c r="Q55" s="181">
        <v>1</v>
      </c>
      <c r="R55" s="61"/>
    </row>
    <row r="56" ht="15" customHeight="1">
      <c r="B56" s="12"/>
      <c r="C56" s="176"/>
      <c r="D56" s="177" t="s">
        <v>313</v>
      </c>
      <c r="E56" s="178">
        <v>0</v>
      </c>
      <c r="F56" s="179">
        <v>0</v>
      </c>
      <c r="G56" s="180">
        <v>0</v>
      </c>
      <c r="H56" s="180">
        <v>0</v>
      </c>
      <c r="I56" s="180">
        <v>0</v>
      </c>
      <c r="J56" s="180">
        <v>0</v>
      </c>
      <c r="K56" s="180"/>
      <c r="L56" s="181">
        <v>0</v>
      </c>
      <c r="M56" s="181">
        <v>0</v>
      </c>
      <c r="N56" s="182"/>
      <c r="O56" s="180">
        <v>6.8999999999999995</v>
      </c>
      <c r="P56" s="181">
        <v>4.92747874842693E-06</v>
      </c>
      <c r="Q56" s="181">
        <v>1</v>
      </c>
      <c r="R56" s="61"/>
    </row>
    <row r="57" ht="15" customHeight="1">
      <c r="B57" s="12"/>
      <c r="C57" s="176"/>
      <c r="D57" s="177" t="s">
        <v>314</v>
      </c>
      <c r="E57" s="178">
        <v>0</v>
      </c>
      <c r="F57" s="179">
        <v>0</v>
      </c>
      <c r="G57" s="180">
        <v>0</v>
      </c>
      <c r="H57" s="180">
        <v>0</v>
      </c>
      <c r="I57" s="180">
        <v>0</v>
      </c>
      <c r="J57" s="180">
        <v>0</v>
      </c>
      <c r="K57" s="180"/>
      <c r="L57" s="181">
        <v>0</v>
      </c>
      <c r="M57" s="181">
        <v>0</v>
      </c>
      <c r="N57" s="182"/>
      <c r="O57" s="180">
        <v>0.6</v>
      </c>
      <c r="P57" s="181">
        <v>4.2847641290668952E-07</v>
      </c>
      <c r="Q57" s="181">
        <v>1</v>
      </c>
      <c r="R57" s="61"/>
    </row>
    <row r="58" ht="15" customHeight="1">
      <c r="B58" s="12"/>
      <c r="C58" s="176"/>
      <c r="D58" s="177" t="s">
        <v>315</v>
      </c>
      <c r="E58" s="178">
        <v>0</v>
      </c>
      <c r="F58" s="179">
        <v>0</v>
      </c>
      <c r="G58" s="180">
        <v>0</v>
      </c>
      <c r="H58" s="180">
        <v>0</v>
      </c>
      <c r="I58" s="180">
        <v>0</v>
      </c>
      <c r="J58" s="180">
        <v>0</v>
      </c>
      <c r="K58" s="180"/>
      <c r="L58" s="181">
        <v>0</v>
      </c>
      <c r="M58" s="181">
        <v>0</v>
      </c>
      <c r="N58" s="182"/>
      <c r="O58" s="180">
        <v>1.4516129032258065</v>
      </c>
      <c r="P58" s="181">
        <v>3.213573096800172E-05</v>
      </c>
      <c r="Q58" s="181">
        <v>1</v>
      </c>
      <c r="R58" s="61"/>
    </row>
    <row r="59" ht="15" customHeight="1">
      <c r="B59" s="12"/>
      <c r="C59" s="176"/>
      <c r="D59" s="177" t="s">
        <v>316</v>
      </c>
      <c r="E59" s="178">
        <v>0</v>
      </c>
      <c r="F59" s="179">
        <v>0</v>
      </c>
      <c r="G59" s="180">
        <v>0</v>
      </c>
      <c r="H59" s="180">
        <v>0</v>
      </c>
      <c r="I59" s="180">
        <v>0</v>
      </c>
      <c r="J59" s="180">
        <v>0</v>
      </c>
      <c r="K59" s="180"/>
      <c r="L59" s="181">
        <v>0</v>
      </c>
      <c r="M59" s="181">
        <v>0</v>
      </c>
      <c r="N59" s="182"/>
      <c r="O59" s="180">
        <v>24</v>
      </c>
      <c r="P59" s="181">
        <v>4.5704150710046888E-05</v>
      </c>
      <c r="Q59" s="181">
        <v>1</v>
      </c>
      <c r="R59" s="61"/>
    </row>
    <row r="60" ht="15" customHeight="1">
      <c r="B60" s="12"/>
      <c r="C60" s="176"/>
      <c r="D60" s="177" t="s">
        <v>317</v>
      </c>
      <c r="E60" s="178">
        <v>0</v>
      </c>
      <c r="F60" s="179">
        <v>0</v>
      </c>
      <c r="G60" s="180">
        <v>0</v>
      </c>
      <c r="H60" s="180">
        <v>0</v>
      </c>
      <c r="I60" s="180">
        <v>0</v>
      </c>
      <c r="J60" s="180">
        <v>0</v>
      </c>
      <c r="K60" s="180"/>
      <c r="L60" s="181">
        <v>0</v>
      </c>
      <c r="M60" s="181">
        <v>0</v>
      </c>
      <c r="N60" s="182"/>
      <c r="O60" s="180">
        <v>28.21</v>
      </c>
      <c r="P60" s="181">
        <v>6.7151775600542851E-05</v>
      </c>
      <c r="Q60" s="181">
        <v>1</v>
      </c>
      <c r="R60" s="61"/>
    </row>
    <row r="61" ht="15" customHeight="1">
      <c r="B61" s="12"/>
      <c r="C61" s="136" t="s">
        <v>318</v>
      </c>
      <c r="D61" s="137"/>
      <c r="E61" s="65">
        <v>0</v>
      </c>
      <c r="F61" s="74">
        <v>0</v>
      </c>
      <c r="G61" s="66">
        <v>0</v>
      </c>
      <c r="H61" s="66">
        <v>0</v>
      </c>
      <c r="I61" s="66">
        <v>0</v>
      </c>
      <c r="J61" s="66">
        <v>0</v>
      </c>
      <c r="K61" s="66"/>
      <c r="L61" s="67">
        <v>0</v>
      </c>
      <c r="M61" s="67">
        <v>0</v>
      </c>
      <c r="N61" s="138"/>
      <c r="O61" s="66">
        <v>1986.4</v>
      </c>
      <c r="P61" s="67">
        <v>0.002364237629438467</v>
      </c>
      <c r="Q61" s="67">
        <v>0.37035752627125818</v>
      </c>
      <c r="R61" s="61"/>
    </row>
    <row r="62" ht="15" customHeight="1">
      <c r="B62" s="12"/>
      <c r="C62" s="176"/>
      <c r="D62" s="177" t="s">
        <v>319</v>
      </c>
      <c r="E62" s="178">
        <v>0</v>
      </c>
      <c r="F62" s="179">
        <v>0</v>
      </c>
      <c r="G62" s="180">
        <v>0</v>
      </c>
      <c r="H62" s="180">
        <v>0</v>
      </c>
      <c r="I62" s="180">
        <v>0</v>
      </c>
      <c r="J62" s="180">
        <v>0</v>
      </c>
      <c r="K62" s="180"/>
      <c r="L62" s="181">
        <v>0</v>
      </c>
      <c r="M62" s="181">
        <v>0</v>
      </c>
      <c r="N62" s="182"/>
      <c r="O62" s="180">
        <v>1986.4</v>
      </c>
      <c r="P62" s="181">
        <v>0.002364237629438467</v>
      </c>
      <c r="Q62" s="181">
        <v>0.37035752627125818</v>
      </c>
      <c r="R62" s="61"/>
    </row>
    <row r="63" ht="15" customHeight="1">
      <c r="B63" s="12"/>
      <c r="C63" s="136" t="s">
        <v>116</v>
      </c>
      <c r="D63" s="137"/>
      <c r="E63" s="65">
        <v>71</v>
      </c>
      <c r="F63" s="74">
        <v>0.9726027397260274</v>
      </c>
      <c r="G63" s="66">
        <v>11903.279999999999</v>
      </c>
      <c r="H63" s="66">
        <v>1.95</v>
      </c>
      <c r="I63" s="66">
        <v>0</v>
      </c>
      <c r="J63" s="66">
        <v>9997.58</v>
      </c>
      <c r="K63" s="66">
        <v>140.81098591549295</v>
      </c>
      <c r="L63" s="67">
        <v>0.24669308073085225</v>
      </c>
      <c r="M63" s="67">
        <v>0.84006509130256535</v>
      </c>
      <c r="N63" s="138"/>
      <c r="O63" s="66">
        <v>128.41015674850908</v>
      </c>
      <c r="P63" s="67">
        <v>0.22035799699426958</v>
      </c>
      <c r="Q63" s="67">
        <v>0.75718681748435945</v>
      </c>
      <c r="R63" s="61"/>
    </row>
    <row r="64" ht="15" customHeight="1">
      <c r="B64" s="12"/>
      <c r="C64" s="176"/>
      <c r="D64" s="177" t="s">
        <v>163</v>
      </c>
      <c r="E64" s="178">
        <v>0</v>
      </c>
      <c r="F64" s="179">
        <v>0</v>
      </c>
      <c r="G64" s="180">
        <v>0</v>
      </c>
      <c r="H64" s="180">
        <v>0</v>
      </c>
      <c r="I64" s="180">
        <v>0</v>
      </c>
      <c r="J64" s="180">
        <v>0</v>
      </c>
      <c r="K64" s="180"/>
      <c r="L64" s="181">
        <v>0</v>
      </c>
      <c r="M64" s="181">
        <v>0</v>
      </c>
      <c r="N64" s="182"/>
      <c r="O64" s="180">
        <v>168.52205254515647</v>
      </c>
      <c r="P64" s="181">
        <v>0.097721120585032822</v>
      </c>
      <c r="Q64" s="181">
        <v>0.73980353921989217</v>
      </c>
      <c r="R64" s="61"/>
    </row>
    <row r="65" ht="15" customHeight="1">
      <c r="B65" s="12"/>
      <c r="C65" s="176"/>
      <c r="D65" s="177" t="s">
        <v>320</v>
      </c>
      <c r="E65" s="178">
        <v>0</v>
      </c>
      <c r="F65" s="179">
        <v>0</v>
      </c>
      <c r="G65" s="180">
        <v>0</v>
      </c>
      <c r="H65" s="180">
        <v>0</v>
      </c>
      <c r="I65" s="180">
        <v>0</v>
      </c>
      <c r="J65" s="180">
        <v>0</v>
      </c>
      <c r="K65" s="180"/>
      <c r="L65" s="181">
        <v>0</v>
      </c>
      <c r="M65" s="181">
        <v>0</v>
      </c>
      <c r="N65" s="182"/>
      <c r="O65" s="180">
        <v>35.641228070175444</v>
      </c>
      <c r="P65" s="181">
        <v>0.000483595142578103</v>
      </c>
      <c r="Q65" s="181">
        <v>1.0000000000000002</v>
      </c>
      <c r="R65" s="61"/>
    </row>
    <row r="66" ht="15" customHeight="1">
      <c r="B66" s="12"/>
      <c r="C66" s="176"/>
      <c r="D66" s="177" t="s">
        <v>321</v>
      </c>
      <c r="E66" s="178">
        <v>0</v>
      </c>
      <c r="F66" s="179">
        <v>0</v>
      </c>
      <c r="G66" s="180">
        <v>0</v>
      </c>
      <c r="H66" s="180">
        <v>0</v>
      </c>
      <c r="I66" s="180">
        <v>0</v>
      </c>
      <c r="J66" s="180">
        <v>0</v>
      </c>
      <c r="K66" s="180"/>
      <c r="L66" s="181">
        <v>0</v>
      </c>
      <c r="M66" s="181">
        <v>0</v>
      </c>
      <c r="N66" s="182"/>
      <c r="O66" s="180">
        <v>230</v>
      </c>
      <c r="P66" s="181">
        <v>0.0005474976387141034</v>
      </c>
      <c r="Q66" s="181">
        <v>0.1411042944785276</v>
      </c>
      <c r="R66" s="61"/>
    </row>
    <row r="67" ht="15" customHeight="1">
      <c r="B67" s="12"/>
      <c r="C67" s="176"/>
      <c r="D67" s="177" t="s">
        <v>118</v>
      </c>
      <c r="E67" s="178">
        <v>6</v>
      </c>
      <c r="F67" s="179">
        <v>0.0821917808219178</v>
      </c>
      <c r="G67" s="180">
        <v>729.6</v>
      </c>
      <c r="H67" s="180">
        <v>0</v>
      </c>
      <c r="I67" s="180">
        <v>0</v>
      </c>
      <c r="J67" s="180">
        <v>729.6</v>
      </c>
      <c r="K67" s="180">
        <v>121.60000000000001</v>
      </c>
      <c r="L67" s="181">
        <v>0.018003083916430757</v>
      </c>
      <c r="M67" s="181">
        <v>1</v>
      </c>
      <c r="N67" s="182"/>
      <c r="O67" s="180">
        <v>66.902633473305372</v>
      </c>
      <c r="P67" s="181">
        <v>0.026548086708086883</v>
      </c>
      <c r="Q67" s="181">
        <v>0.84941158790978089</v>
      </c>
      <c r="R67" s="61"/>
    </row>
    <row r="68" ht="15" customHeight="1">
      <c r="B68" s="12"/>
      <c r="C68" s="176"/>
      <c r="D68" s="177" t="s">
        <v>322</v>
      </c>
      <c r="E68" s="178">
        <v>0</v>
      </c>
      <c r="F68" s="179">
        <v>0</v>
      </c>
      <c r="G68" s="180">
        <v>0</v>
      </c>
      <c r="H68" s="180">
        <v>0</v>
      </c>
      <c r="I68" s="180">
        <v>0</v>
      </c>
      <c r="J68" s="180">
        <v>0</v>
      </c>
      <c r="K68" s="180"/>
      <c r="L68" s="181">
        <v>0</v>
      </c>
      <c r="M68" s="181">
        <v>0</v>
      </c>
      <c r="N68" s="182"/>
      <c r="O68" s="180">
        <v>212.47750000000002</v>
      </c>
      <c r="P68" s="181">
        <v>0.00020231466005195809</v>
      </c>
      <c r="Q68" s="181">
        <v>0.49709356725146203</v>
      </c>
      <c r="R68" s="61"/>
    </row>
    <row r="69" ht="15" customHeight="1">
      <c r="B69" s="12"/>
      <c r="C69" s="176"/>
      <c r="D69" s="177" t="s">
        <v>323</v>
      </c>
      <c r="E69" s="178">
        <v>0</v>
      </c>
      <c r="F69" s="179">
        <v>0</v>
      </c>
      <c r="G69" s="180">
        <v>0</v>
      </c>
      <c r="H69" s="180">
        <v>0</v>
      </c>
      <c r="I69" s="180">
        <v>0</v>
      </c>
      <c r="J69" s="180">
        <v>0</v>
      </c>
      <c r="K69" s="180"/>
      <c r="L69" s="181">
        <v>0</v>
      </c>
      <c r="M69" s="181">
        <v>0</v>
      </c>
      <c r="N69" s="182"/>
      <c r="O69" s="180">
        <v>116.49935483870966</v>
      </c>
      <c r="P69" s="181">
        <v>0.0017193711063158345</v>
      </c>
      <c r="Q69" s="181">
        <v>0.84961898490051269</v>
      </c>
      <c r="R69" s="61"/>
    </row>
    <row r="70" ht="15" customHeight="1">
      <c r="B70" s="12"/>
      <c r="C70" s="176"/>
      <c r="D70" s="177" t="s">
        <v>324</v>
      </c>
      <c r="E70" s="178">
        <v>24</v>
      </c>
      <c r="F70" s="179">
        <v>0.32876712328767121</v>
      </c>
      <c r="G70" s="180">
        <v>5459.7</v>
      </c>
      <c r="H70" s="180">
        <v>0.72</v>
      </c>
      <c r="I70" s="180">
        <v>0</v>
      </c>
      <c r="J70" s="180">
        <v>4509.15</v>
      </c>
      <c r="K70" s="180">
        <v>187.88125</v>
      </c>
      <c r="L70" s="181">
        <v>0.11126453651558901</v>
      </c>
      <c r="M70" s="181">
        <v>0.82602890268696083</v>
      </c>
      <c r="N70" s="182"/>
      <c r="O70" s="180">
        <v>177.07542197452275</v>
      </c>
      <c r="P70" s="181">
        <v>0.052942243264837152</v>
      </c>
      <c r="Q70" s="181">
        <v>0.75965527447611847</v>
      </c>
      <c r="R70" s="61"/>
    </row>
    <row r="71" ht="15" customHeight="1">
      <c r="B71" s="12"/>
      <c r="C71" s="176"/>
      <c r="D71" s="177" t="s">
        <v>325</v>
      </c>
      <c r="E71" s="178">
        <v>41</v>
      </c>
      <c r="F71" s="179">
        <v>0.56164383561643838</v>
      </c>
      <c r="G71" s="180">
        <v>5713.98</v>
      </c>
      <c r="H71" s="180">
        <v>1.23</v>
      </c>
      <c r="I71" s="180">
        <v>0</v>
      </c>
      <c r="J71" s="180">
        <v>4758.83</v>
      </c>
      <c r="K71" s="180">
        <v>116.0690243902439</v>
      </c>
      <c r="L71" s="181">
        <v>0.11742546029883248</v>
      </c>
      <c r="M71" s="181">
        <v>0.833055068446162</v>
      </c>
      <c r="N71" s="182"/>
      <c r="O71" s="180">
        <v>98.466481589714007</v>
      </c>
      <c r="P71" s="181">
        <v>0.040104475784627586</v>
      </c>
      <c r="Q71" s="181">
        <v>0.78775984509150954</v>
      </c>
      <c r="R71" s="61"/>
    </row>
    <row r="72" ht="15" customHeight="1">
      <c r="B72" s="12"/>
      <c r="C72" s="176"/>
      <c r="D72" s="177" t="s">
        <v>123</v>
      </c>
      <c r="E72" s="178">
        <v>0</v>
      </c>
      <c r="F72" s="179">
        <v>0</v>
      </c>
      <c r="G72" s="180">
        <v>0</v>
      </c>
      <c r="H72" s="180">
        <v>0</v>
      </c>
      <c r="I72" s="180">
        <v>0</v>
      </c>
      <c r="J72" s="180">
        <v>0</v>
      </c>
      <c r="K72" s="180"/>
      <c r="L72" s="181">
        <v>0</v>
      </c>
      <c r="M72" s="181">
        <v>0</v>
      </c>
      <c r="N72" s="182"/>
      <c r="O72" s="180">
        <v>116.63666666666666</v>
      </c>
      <c r="P72" s="181">
        <v>8.32934342445443E-05</v>
      </c>
      <c r="Q72" s="181">
        <v>0.87249158668827109</v>
      </c>
      <c r="R72" s="61"/>
    </row>
    <row r="73" ht="15" customHeight="1">
      <c r="B73" s="12"/>
      <c r="C73" s="176"/>
      <c r="D73" s="177" t="s">
        <v>326</v>
      </c>
      <c r="E73" s="178">
        <v>0</v>
      </c>
      <c r="F73" s="179">
        <v>0</v>
      </c>
      <c r="G73" s="180">
        <v>0</v>
      </c>
      <c r="H73" s="180">
        <v>0</v>
      </c>
      <c r="I73" s="180">
        <v>0</v>
      </c>
      <c r="J73" s="180">
        <v>0</v>
      </c>
      <c r="K73" s="180"/>
      <c r="L73" s="181">
        <v>0</v>
      </c>
      <c r="M73" s="181">
        <v>0</v>
      </c>
      <c r="N73" s="182"/>
      <c r="O73" s="180">
        <v>8.4</v>
      </c>
      <c r="P73" s="181">
        <v>5.9986697806936538E-06</v>
      </c>
      <c r="Q73" s="181">
        <v>1</v>
      </c>
      <c r="R73" s="61"/>
    </row>
    <row r="74" ht="15" customHeight="1">
      <c r="B74" s="12"/>
      <c r="C74" s="136" t="s">
        <v>129</v>
      </c>
      <c r="D74" s="137"/>
      <c r="E74" s="65">
        <v>42</v>
      </c>
      <c r="F74" s="74">
        <v>0.57534246575342463</v>
      </c>
      <c r="G74" s="66">
        <v>2453</v>
      </c>
      <c r="H74" s="66">
        <v>0</v>
      </c>
      <c r="I74" s="66">
        <v>0</v>
      </c>
      <c r="J74" s="66">
        <v>1574</v>
      </c>
      <c r="K74" s="66">
        <v>37.476190476190474</v>
      </c>
      <c r="L74" s="67">
        <v>0.038838889918396395</v>
      </c>
      <c r="M74" s="67">
        <v>0.64166326946596008</v>
      </c>
      <c r="N74" s="138"/>
      <c r="O74" s="66">
        <v>40.888151311775466</v>
      </c>
      <c r="P74" s="67">
        <v>0.031905153527669532</v>
      </c>
      <c r="Q74" s="67">
        <v>0.72449147429868277</v>
      </c>
      <c r="R74" s="61"/>
    </row>
    <row r="75" ht="15" customHeight="1">
      <c r="B75" s="12"/>
      <c r="C75" s="176"/>
      <c r="D75" s="177" t="s">
        <v>61</v>
      </c>
      <c r="E75" s="178">
        <v>42</v>
      </c>
      <c r="F75" s="179">
        <v>0.57534246575342463</v>
      </c>
      <c r="G75" s="180">
        <v>2453</v>
      </c>
      <c r="H75" s="180">
        <v>0</v>
      </c>
      <c r="I75" s="180">
        <v>0</v>
      </c>
      <c r="J75" s="180">
        <v>1574</v>
      </c>
      <c r="K75" s="180">
        <v>37.476190476190474</v>
      </c>
      <c r="L75" s="181">
        <v>0.038838889918396395</v>
      </c>
      <c r="M75" s="181">
        <v>0.64166326946596008</v>
      </c>
      <c r="N75" s="182"/>
      <c r="O75" s="180">
        <v>42.058135109419595</v>
      </c>
      <c r="P75" s="181">
        <v>0.031566642878926146</v>
      </c>
      <c r="Q75" s="181">
        <v>0.72603844319125954</v>
      </c>
      <c r="R75" s="61"/>
    </row>
    <row r="76" ht="15" customHeight="1">
      <c r="B76" s="12"/>
      <c r="C76" s="176"/>
      <c r="D76" s="177" t="s">
        <v>327</v>
      </c>
      <c r="E76" s="178">
        <v>0</v>
      </c>
      <c r="F76" s="179">
        <v>0</v>
      </c>
      <c r="G76" s="180">
        <v>0</v>
      </c>
      <c r="H76" s="180">
        <v>0</v>
      </c>
      <c r="I76" s="180">
        <v>0</v>
      </c>
      <c r="J76" s="180">
        <v>0</v>
      </c>
      <c r="K76" s="180"/>
      <c r="L76" s="181">
        <v>0</v>
      </c>
      <c r="M76" s="181">
        <v>0</v>
      </c>
      <c r="N76" s="182"/>
      <c r="O76" s="180">
        <v>2.1328000000000005</v>
      </c>
      <c r="P76" s="181">
        <v>3.8077270560307822E-05</v>
      </c>
      <c r="Q76" s="181">
        <v>1</v>
      </c>
      <c r="R76" s="61"/>
    </row>
    <row r="77" ht="15" customHeight="1">
      <c r="B77" s="12"/>
      <c r="C77" s="176"/>
      <c r="D77" s="177" t="s">
        <v>328</v>
      </c>
      <c r="E77" s="178">
        <v>0</v>
      </c>
      <c r="F77" s="179">
        <v>0</v>
      </c>
      <c r="G77" s="180">
        <v>0</v>
      </c>
      <c r="H77" s="180">
        <v>0</v>
      </c>
      <c r="I77" s="180">
        <v>0</v>
      </c>
      <c r="J77" s="180">
        <v>0</v>
      </c>
      <c r="K77" s="180"/>
      <c r="L77" s="181">
        <v>0</v>
      </c>
      <c r="M77" s="181">
        <v>0</v>
      </c>
      <c r="N77" s="182"/>
      <c r="O77" s="180">
        <v>25.241999999999997</v>
      </c>
      <c r="P77" s="181">
        <v>0.00030043337818307385</v>
      </c>
      <c r="Q77" s="181">
        <v>0.54202128331571653</v>
      </c>
      <c r="R77" s="61"/>
    </row>
    <row r="78" ht="15" customHeight="1">
      <c r="B78" s="12"/>
      <c r="C78" s="136" t="s">
        <v>131</v>
      </c>
      <c r="D78" s="137"/>
      <c r="E78" s="65">
        <v>2257</v>
      </c>
      <c r="F78" s="74">
        <v>30.917808219178081</v>
      </c>
      <c r="G78" s="66">
        <v>43167.900000000067</v>
      </c>
      <c r="H78" s="66">
        <v>20534.21000000001</v>
      </c>
      <c r="I78" s="66">
        <v>0</v>
      </c>
      <c r="J78" s="66">
        <v>16855.279999999981</v>
      </c>
      <c r="K78" s="66">
        <v>7.468001772264067</v>
      </c>
      <c r="L78" s="67">
        <v>0.41590874489437635</v>
      </c>
      <c r="M78" s="67">
        <v>0.86614104461880237</v>
      </c>
      <c r="N78" s="138"/>
      <c r="O78" s="66">
        <v>4.6795199488126045</v>
      </c>
      <c r="P78" s="67">
        <v>0.3917115156101888</v>
      </c>
      <c r="Q78" s="67">
        <v>0.93224282505416611</v>
      </c>
      <c r="R78" s="61"/>
    </row>
    <row r="79" ht="15" customHeight="1">
      <c r="B79" s="12"/>
      <c r="C79" s="176"/>
      <c r="D79" s="177" t="s">
        <v>329</v>
      </c>
      <c r="E79" s="178">
        <v>0</v>
      </c>
      <c r="F79" s="179">
        <v>0</v>
      </c>
      <c r="G79" s="180">
        <v>0</v>
      </c>
      <c r="H79" s="180">
        <v>0</v>
      </c>
      <c r="I79" s="180">
        <v>0</v>
      </c>
      <c r="J79" s="180">
        <v>0</v>
      </c>
      <c r="K79" s="180"/>
      <c r="L79" s="181">
        <v>0</v>
      </c>
      <c r="M79" s="181">
        <v>0</v>
      </c>
      <c r="N79" s="182"/>
      <c r="O79" s="180">
        <v>12.908224137931022</v>
      </c>
      <c r="P79" s="181">
        <v>0.0071286763419053621</v>
      </c>
      <c r="Q79" s="181">
        <v>0.82772882370320466</v>
      </c>
      <c r="R79" s="61"/>
    </row>
    <row r="80" ht="15" customHeight="1">
      <c r="B80" s="12"/>
      <c r="C80" s="176"/>
      <c r="D80" s="177" t="s">
        <v>330</v>
      </c>
      <c r="E80" s="178">
        <v>0</v>
      </c>
      <c r="F80" s="179">
        <v>0</v>
      </c>
      <c r="G80" s="180">
        <v>0</v>
      </c>
      <c r="H80" s="180">
        <v>0</v>
      </c>
      <c r="I80" s="180">
        <v>0</v>
      </c>
      <c r="J80" s="180">
        <v>0</v>
      </c>
      <c r="K80" s="180"/>
      <c r="L80" s="181">
        <v>0</v>
      </c>
      <c r="M80" s="181">
        <v>0</v>
      </c>
      <c r="N80" s="182"/>
      <c r="O80" s="180">
        <v>7.14</v>
      </c>
      <c r="P80" s="181">
        <v>3.3992462090597372E-06</v>
      </c>
      <c r="Q80" s="181">
        <v>1</v>
      </c>
      <c r="R80" s="61"/>
    </row>
    <row r="81" ht="15" customHeight="1">
      <c r="B81" s="12"/>
      <c r="C81" s="176"/>
      <c r="D81" s="177" t="s">
        <v>134</v>
      </c>
      <c r="E81" s="178">
        <v>79</v>
      </c>
      <c r="F81" s="179">
        <v>1.0821917808219179</v>
      </c>
      <c r="G81" s="180">
        <v>2843.73</v>
      </c>
      <c r="H81" s="180">
        <v>1706.18</v>
      </c>
      <c r="I81" s="180">
        <v>0</v>
      </c>
      <c r="J81" s="180">
        <v>1137.55</v>
      </c>
      <c r="K81" s="180">
        <v>14.399367088607594</v>
      </c>
      <c r="L81" s="181">
        <v>0.028069364184670789</v>
      </c>
      <c r="M81" s="181">
        <v>1</v>
      </c>
      <c r="N81" s="182"/>
      <c r="O81" s="180">
        <v>11.111481637466333</v>
      </c>
      <c r="P81" s="181">
        <v>0.031401491406420373</v>
      </c>
      <c r="Q81" s="181">
        <v>1.0000027765426043</v>
      </c>
      <c r="R81" s="61"/>
    </row>
    <row r="82" ht="15" customHeight="1">
      <c r="B82" s="12"/>
      <c r="C82" s="176"/>
      <c r="D82" s="177" t="s">
        <v>331</v>
      </c>
      <c r="E82" s="178">
        <v>0</v>
      </c>
      <c r="F82" s="179">
        <v>0</v>
      </c>
      <c r="G82" s="180">
        <v>0</v>
      </c>
      <c r="H82" s="180">
        <v>0</v>
      </c>
      <c r="I82" s="180">
        <v>0</v>
      </c>
      <c r="J82" s="180">
        <v>0</v>
      </c>
      <c r="K82" s="180"/>
      <c r="L82" s="181">
        <v>0</v>
      </c>
      <c r="M82" s="181">
        <v>0</v>
      </c>
      <c r="N82" s="182"/>
      <c r="O82" s="180">
        <v>17.42400793650793</v>
      </c>
      <c r="P82" s="181">
        <v>0.0020904173973459303</v>
      </c>
      <c r="Q82" s="181">
        <v>1.0000000000000007</v>
      </c>
      <c r="R82" s="61"/>
    </row>
    <row r="83" ht="15" customHeight="1">
      <c r="B83" s="12"/>
      <c r="C83" s="176"/>
      <c r="D83" s="177" t="s">
        <v>282</v>
      </c>
      <c r="E83" s="178">
        <v>33</v>
      </c>
      <c r="F83" s="179">
        <v>0.45205479452054792</v>
      </c>
      <c r="G83" s="180">
        <v>1060.51</v>
      </c>
      <c r="H83" s="180">
        <v>288.94</v>
      </c>
      <c r="I83" s="180">
        <v>0</v>
      </c>
      <c r="J83" s="180">
        <v>508.42</v>
      </c>
      <c r="K83" s="180">
        <v>15.406666666666666</v>
      </c>
      <c r="L83" s="181">
        <v>0.012545405598672869</v>
      </c>
      <c r="M83" s="181">
        <v>0.75186466888572479</v>
      </c>
      <c r="N83" s="182"/>
      <c r="O83" s="180">
        <v>20.920003639010179</v>
      </c>
      <c r="P83" s="181">
        <v>0.013684624925649975</v>
      </c>
      <c r="Q83" s="181">
        <v>0.84693508328271849</v>
      </c>
      <c r="R83" s="61"/>
    </row>
    <row r="84" ht="15" customHeight="1">
      <c r="B84" s="12"/>
      <c r="C84" s="176"/>
      <c r="D84" s="177" t="s">
        <v>332</v>
      </c>
      <c r="E84" s="178">
        <v>0</v>
      </c>
      <c r="F84" s="179">
        <v>0</v>
      </c>
      <c r="G84" s="180">
        <v>0</v>
      </c>
      <c r="H84" s="180">
        <v>0</v>
      </c>
      <c r="I84" s="180">
        <v>0</v>
      </c>
      <c r="J84" s="180">
        <v>0</v>
      </c>
      <c r="K84" s="180"/>
      <c r="L84" s="181">
        <v>0</v>
      </c>
      <c r="M84" s="181">
        <v>0</v>
      </c>
      <c r="N84" s="182"/>
      <c r="O84" s="180">
        <v>14.94</v>
      </c>
      <c r="P84" s="181">
        <v>3.5563542271255235E-06</v>
      </c>
      <c r="Q84" s="181">
        <v>1</v>
      </c>
      <c r="R84" s="61"/>
    </row>
    <row r="85" ht="15" customHeight="1">
      <c r="B85" s="12"/>
      <c r="C85" s="176"/>
      <c r="D85" s="177" t="s">
        <v>333</v>
      </c>
      <c r="E85" s="178">
        <v>0</v>
      </c>
      <c r="F85" s="179">
        <v>0</v>
      </c>
      <c r="G85" s="180">
        <v>0</v>
      </c>
      <c r="H85" s="180">
        <v>0</v>
      </c>
      <c r="I85" s="180">
        <v>0</v>
      </c>
      <c r="J85" s="180">
        <v>0</v>
      </c>
      <c r="K85" s="180"/>
      <c r="L85" s="181">
        <v>0</v>
      </c>
      <c r="M85" s="181">
        <v>0</v>
      </c>
      <c r="N85" s="182"/>
      <c r="O85" s="180">
        <v>7.4310278745644629</v>
      </c>
      <c r="P85" s="181">
        <v>0.001015348653542402</v>
      </c>
      <c r="Q85" s="181">
        <v>0.90534741339301028</v>
      </c>
      <c r="R85" s="61"/>
    </row>
    <row r="86" ht="15" customHeight="1">
      <c r="B86" s="12"/>
      <c r="C86" s="176"/>
      <c r="D86" s="177" t="s">
        <v>135</v>
      </c>
      <c r="E86" s="178">
        <v>319</v>
      </c>
      <c r="F86" s="179">
        <v>4.36986301369863</v>
      </c>
      <c r="G86" s="180">
        <v>7955.76000000002</v>
      </c>
      <c r="H86" s="180">
        <v>4357.68000000002</v>
      </c>
      <c r="I86" s="180">
        <v>0</v>
      </c>
      <c r="J86" s="180">
        <v>3349.88</v>
      </c>
      <c r="K86" s="180">
        <v>10.501191222570533</v>
      </c>
      <c r="L86" s="181">
        <v>0.082659225260379748</v>
      </c>
      <c r="M86" s="181">
        <v>0.96880247770169037</v>
      </c>
      <c r="N86" s="182"/>
      <c r="O86" s="180">
        <v>7.4918051543081194</v>
      </c>
      <c r="P86" s="181">
        <v>0.07777979738283515</v>
      </c>
      <c r="Q86" s="181">
        <v>0.94866482470826186</v>
      </c>
      <c r="R86" s="61"/>
    </row>
    <row r="87" ht="15" customHeight="1">
      <c r="B87" s="12"/>
      <c r="C87" s="176"/>
      <c r="D87" s="177" t="s">
        <v>165</v>
      </c>
      <c r="E87" s="178">
        <v>542</v>
      </c>
      <c r="F87" s="179">
        <v>7.4246575342465757</v>
      </c>
      <c r="G87" s="180">
        <v>26405.67</v>
      </c>
      <c r="H87" s="180">
        <v>11498.19</v>
      </c>
      <c r="I87" s="180">
        <v>0</v>
      </c>
      <c r="J87" s="180">
        <v>9655.72999999998</v>
      </c>
      <c r="K87" s="180">
        <v>17.814999999999998</v>
      </c>
      <c r="L87" s="181">
        <v>0.23825783643694895</v>
      </c>
      <c r="M87" s="181">
        <v>0.8011127913058067</v>
      </c>
      <c r="N87" s="182"/>
      <c r="O87" s="180">
        <v>5.5401547950888528</v>
      </c>
      <c r="P87" s="181">
        <v>0.15565306689513719</v>
      </c>
      <c r="Q87" s="181">
        <v>0.90605135284518812</v>
      </c>
      <c r="R87" s="61"/>
    </row>
    <row r="88" ht="15" customHeight="1">
      <c r="B88" s="12"/>
      <c r="C88" s="176"/>
      <c r="D88" s="177" t="s">
        <v>334</v>
      </c>
      <c r="E88" s="178">
        <v>0</v>
      </c>
      <c r="F88" s="179">
        <v>0</v>
      </c>
      <c r="G88" s="180">
        <v>0</v>
      </c>
      <c r="H88" s="180">
        <v>0</v>
      </c>
      <c r="I88" s="180">
        <v>0</v>
      </c>
      <c r="J88" s="180">
        <v>0</v>
      </c>
      <c r="K88" s="180"/>
      <c r="L88" s="181">
        <v>0</v>
      </c>
      <c r="M88" s="181">
        <v>0</v>
      </c>
      <c r="N88" s="182"/>
      <c r="O88" s="180">
        <v>14.075000000000001</v>
      </c>
      <c r="P88" s="181">
        <v>6.700895012957396E-06</v>
      </c>
      <c r="Q88" s="181">
        <v>1</v>
      </c>
      <c r="R88" s="61"/>
    </row>
    <row r="89" ht="15" customHeight="1">
      <c r="B89" s="12"/>
      <c r="C89" s="176"/>
      <c r="D89" s="177" t="s">
        <v>335</v>
      </c>
      <c r="E89" s="178">
        <v>0</v>
      </c>
      <c r="F89" s="179">
        <v>0</v>
      </c>
      <c r="G89" s="180">
        <v>0</v>
      </c>
      <c r="H89" s="180">
        <v>0</v>
      </c>
      <c r="I89" s="180">
        <v>0</v>
      </c>
      <c r="J89" s="180">
        <v>0</v>
      </c>
      <c r="K89" s="180"/>
      <c r="L89" s="181">
        <v>0</v>
      </c>
      <c r="M89" s="181">
        <v>0</v>
      </c>
      <c r="N89" s="182"/>
      <c r="O89" s="180">
        <v>18</v>
      </c>
      <c r="P89" s="181">
        <v>4.284764129066896E-06</v>
      </c>
      <c r="Q89" s="181">
        <v>1</v>
      </c>
      <c r="R89" s="61"/>
    </row>
    <row r="90" ht="15" customHeight="1">
      <c r="B90" s="12"/>
      <c r="C90" s="176"/>
      <c r="D90" s="177" t="s">
        <v>336</v>
      </c>
      <c r="E90" s="178">
        <v>0</v>
      </c>
      <c r="F90" s="179">
        <v>0</v>
      </c>
      <c r="G90" s="180">
        <v>0</v>
      </c>
      <c r="H90" s="180">
        <v>0</v>
      </c>
      <c r="I90" s="180">
        <v>0</v>
      </c>
      <c r="J90" s="180">
        <v>0</v>
      </c>
      <c r="K90" s="180"/>
      <c r="L90" s="181">
        <v>0</v>
      </c>
      <c r="M90" s="181">
        <v>0</v>
      </c>
      <c r="N90" s="182"/>
      <c r="O90" s="180">
        <v>1.82</v>
      </c>
      <c r="P90" s="181">
        <v>6.0653216671458058E-06</v>
      </c>
      <c r="Q90" s="181">
        <v>1</v>
      </c>
      <c r="R90" s="61"/>
    </row>
    <row r="91" ht="15" customHeight="1">
      <c r="B91" s="12"/>
      <c r="C91" s="176"/>
      <c r="D91" s="177" t="s">
        <v>337</v>
      </c>
      <c r="E91" s="178">
        <v>0</v>
      </c>
      <c r="F91" s="179">
        <v>0</v>
      </c>
      <c r="G91" s="180">
        <v>0</v>
      </c>
      <c r="H91" s="180">
        <v>0</v>
      </c>
      <c r="I91" s="180">
        <v>0</v>
      </c>
      <c r="J91" s="180">
        <v>0</v>
      </c>
      <c r="K91" s="180"/>
      <c r="L91" s="181">
        <v>0</v>
      </c>
      <c r="M91" s="181">
        <v>0</v>
      </c>
      <c r="N91" s="182"/>
      <c r="O91" s="180">
        <v>13.647373855902366</v>
      </c>
      <c r="P91" s="181">
        <v>0.013842516103381573</v>
      </c>
      <c r="Q91" s="181">
        <v>0.8777703020589247</v>
      </c>
      <c r="R91" s="61"/>
    </row>
    <row r="92" ht="15" customHeight="1">
      <c r="B92" s="12"/>
      <c r="C92" s="176"/>
      <c r="D92" s="177" t="s">
        <v>338</v>
      </c>
      <c r="E92" s="178">
        <v>0</v>
      </c>
      <c r="F92" s="179">
        <v>0</v>
      </c>
      <c r="G92" s="180">
        <v>0</v>
      </c>
      <c r="H92" s="180">
        <v>0</v>
      </c>
      <c r="I92" s="180">
        <v>0</v>
      </c>
      <c r="J92" s="180">
        <v>0</v>
      </c>
      <c r="K92" s="180"/>
      <c r="L92" s="181">
        <v>0</v>
      </c>
      <c r="M92" s="181">
        <v>0</v>
      </c>
      <c r="N92" s="182"/>
      <c r="O92" s="180">
        <v>1.6200000000000006</v>
      </c>
      <c r="P92" s="181">
        <v>3.8562877161602075E-06</v>
      </c>
      <c r="Q92" s="181">
        <v>1.0000000000000002</v>
      </c>
      <c r="R92" s="61"/>
    </row>
    <row r="93" ht="15" customHeight="1">
      <c r="B93" s="12"/>
      <c r="C93" s="176"/>
      <c r="D93" s="177" t="s">
        <v>339</v>
      </c>
      <c r="E93" s="178">
        <v>0</v>
      </c>
      <c r="F93" s="179">
        <v>0</v>
      </c>
      <c r="G93" s="180">
        <v>0</v>
      </c>
      <c r="H93" s="180">
        <v>0</v>
      </c>
      <c r="I93" s="180">
        <v>0</v>
      </c>
      <c r="J93" s="180">
        <v>0</v>
      </c>
      <c r="K93" s="180"/>
      <c r="L93" s="181">
        <v>0</v>
      </c>
      <c r="M93" s="181">
        <v>0</v>
      </c>
      <c r="N93" s="182"/>
      <c r="O93" s="180">
        <v>15.45</v>
      </c>
      <c r="P93" s="181">
        <v>7.3555117548981711E-06</v>
      </c>
      <c r="Q93" s="181">
        <v>1</v>
      </c>
      <c r="R93" s="61"/>
    </row>
    <row r="94" ht="15" customHeight="1">
      <c r="B94" s="12"/>
      <c r="C94" s="176"/>
      <c r="D94" s="177" t="s">
        <v>340</v>
      </c>
      <c r="E94" s="178">
        <v>0</v>
      </c>
      <c r="F94" s="179">
        <v>0</v>
      </c>
      <c r="G94" s="180">
        <v>0</v>
      </c>
      <c r="H94" s="180">
        <v>0</v>
      </c>
      <c r="I94" s="180">
        <v>0</v>
      </c>
      <c r="J94" s="180">
        <v>0</v>
      </c>
      <c r="K94" s="180"/>
      <c r="L94" s="181">
        <v>0</v>
      </c>
      <c r="M94" s="181">
        <v>0</v>
      </c>
      <c r="N94" s="182"/>
      <c r="O94" s="180">
        <v>0.9</v>
      </c>
      <c r="P94" s="181">
        <v>2.1423820645334479E-07</v>
      </c>
      <c r="Q94" s="181">
        <v>1</v>
      </c>
      <c r="R94" s="61"/>
    </row>
    <row r="95" ht="15" customHeight="1">
      <c r="B95" s="12"/>
      <c r="C95" s="176"/>
      <c r="D95" s="177" t="s">
        <v>128</v>
      </c>
      <c r="E95" s="178">
        <v>1284</v>
      </c>
      <c r="F95" s="179">
        <v>17.589041095890412</v>
      </c>
      <c r="G95" s="180">
        <v>4902.23000000005</v>
      </c>
      <c r="H95" s="180">
        <v>2683.21999999999</v>
      </c>
      <c r="I95" s="180">
        <v>0</v>
      </c>
      <c r="J95" s="180">
        <v>2203.7</v>
      </c>
      <c r="K95" s="180">
        <v>1.7162772585669781</v>
      </c>
      <c r="L95" s="181">
        <v>0.054376913413704021</v>
      </c>
      <c r="M95" s="181">
        <v>0.99687693151892109</v>
      </c>
      <c r="N95" s="182"/>
      <c r="O95" s="180">
        <v>2.2199663130734342</v>
      </c>
      <c r="P95" s="181">
        <v>0.08847458055111164</v>
      </c>
      <c r="Q95" s="181">
        <v>0.98195491248106159</v>
      </c>
      <c r="R95" s="61"/>
    </row>
    <row r="96" ht="15" customHeight="1">
      <c r="B96" s="12"/>
      <c r="C96" s="176"/>
      <c r="D96" s="177" t="s">
        <v>341</v>
      </c>
      <c r="E96" s="178">
        <v>0</v>
      </c>
      <c r="F96" s="179">
        <v>0</v>
      </c>
      <c r="G96" s="180">
        <v>0</v>
      </c>
      <c r="H96" s="180">
        <v>0</v>
      </c>
      <c r="I96" s="180">
        <v>0</v>
      </c>
      <c r="J96" s="180">
        <v>0</v>
      </c>
      <c r="K96" s="180"/>
      <c r="L96" s="181">
        <v>0</v>
      </c>
      <c r="M96" s="181">
        <v>0</v>
      </c>
      <c r="N96" s="182"/>
      <c r="O96" s="180">
        <v>0.44</v>
      </c>
      <c r="P96" s="181">
        <v>3.1421603613157236E-07</v>
      </c>
      <c r="Q96" s="181">
        <v>0.99999999999999989</v>
      </c>
      <c r="R96" s="61"/>
    </row>
    <row r="97" ht="15" customHeight="1">
      <c r="B97" s="12"/>
      <c r="C97" s="176"/>
      <c r="D97" s="177" t="s">
        <v>138</v>
      </c>
      <c r="E97" s="178">
        <v>0</v>
      </c>
      <c r="F97" s="179">
        <v>0</v>
      </c>
      <c r="G97" s="180">
        <v>0</v>
      </c>
      <c r="H97" s="180">
        <v>0</v>
      </c>
      <c r="I97" s="180">
        <v>0</v>
      </c>
      <c r="J97" s="180">
        <v>0</v>
      </c>
      <c r="K97" s="180"/>
      <c r="L97" s="181">
        <v>0</v>
      </c>
      <c r="M97" s="181">
        <v>0</v>
      </c>
      <c r="N97" s="182"/>
      <c r="O97" s="180">
        <v>13.405405405405405</v>
      </c>
      <c r="P97" s="181">
        <v>0.00011806905600095447</v>
      </c>
      <c r="Q97" s="181">
        <v>1</v>
      </c>
      <c r="R97" s="61"/>
    </row>
    <row r="98" ht="15" customHeight="1">
      <c r="B98" s="12"/>
      <c r="C98" s="176"/>
      <c r="D98" s="177" t="s">
        <v>342</v>
      </c>
      <c r="E98" s="178">
        <v>0</v>
      </c>
      <c r="F98" s="179">
        <v>0</v>
      </c>
      <c r="G98" s="180">
        <v>0</v>
      </c>
      <c r="H98" s="180">
        <v>0</v>
      </c>
      <c r="I98" s="180">
        <v>0</v>
      </c>
      <c r="J98" s="180">
        <v>0</v>
      </c>
      <c r="K98" s="180"/>
      <c r="L98" s="181">
        <v>0</v>
      </c>
      <c r="M98" s="181">
        <v>0</v>
      </c>
      <c r="N98" s="182"/>
      <c r="O98" s="180">
        <v>8.8615837104072419</v>
      </c>
      <c r="P98" s="181">
        <v>0.00046618471766699448</v>
      </c>
      <c r="Q98" s="181">
        <v>0.98940599099760784</v>
      </c>
      <c r="R98" s="61"/>
    </row>
    <row r="99" ht="15" customHeight="1">
      <c r="B99" s="12"/>
      <c r="C99" s="176"/>
      <c r="D99" s="177" t="s">
        <v>343</v>
      </c>
      <c r="E99" s="178">
        <v>0</v>
      </c>
      <c r="F99" s="179">
        <v>0</v>
      </c>
      <c r="G99" s="180">
        <v>0</v>
      </c>
      <c r="H99" s="180">
        <v>0</v>
      </c>
      <c r="I99" s="180">
        <v>0</v>
      </c>
      <c r="J99" s="180">
        <v>0</v>
      </c>
      <c r="K99" s="180"/>
      <c r="L99" s="181">
        <v>0</v>
      </c>
      <c r="M99" s="181">
        <v>0</v>
      </c>
      <c r="N99" s="182"/>
      <c r="O99" s="180">
        <v>4.8</v>
      </c>
      <c r="P99" s="181">
        <v>1.1426037677511722E-06</v>
      </c>
      <c r="Q99" s="181">
        <v>1</v>
      </c>
      <c r="R99" s="61"/>
    </row>
    <row r="100" ht="15" customHeight="1">
      <c r="B100" s="12"/>
      <c r="C100" s="176"/>
      <c r="D100" s="177" t="s">
        <v>344</v>
      </c>
      <c r="E100" s="178">
        <v>0</v>
      </c>
      <c r="F100" s="179">
        <v>0</v>
      </c>
      <c r="G100" s="180">
        <v>0</v>
      </c>
      <c r="H100" s="180">
        <v>0</v>
      </c>
      <c r="I100" s="180">
        <v>0</v>
      </c>
      <c r="J100" s="180">
        <v>0</v>
      </c>
      <c r="K100" s="180"/>
      <c r="L100" s="181">
        <v>0</v>
      </c>
      <c r="M100" s="181">
        <v>0</v>
      </c>
      <c r="N100" s="182"/>
      <c r="O100" s="180">
        <v>1.8</v>
      </c>
      <c r="P100" s="181">
        <v>1.2854292387200688E-06</v>
      </c>
      <c r="Q100" s="181">
        <v>0.94736842105263153</v>
      </c>
      <c r="R100" s="61"/>
    </row>
    <row r="101" ht="15" customHeight="1">
      <c r="B101" s="12"/>
      <c r="C101" s="176"/>
      <c r="D101" s="177" t="s">
        <v>345</v>
      </c>
      <c r="E101" s="178">
        <v>0</v>
      </c>
      <c r="F101" s="179">
        <v>0</v>
      </c>
      <c r="G101" s="180">
        <v>0</v>
      </c>
      <c r="H101" s="180">
        <v>0</v>
      </c>
      <c r="I101" s="180">
        <v>0</v>
      </c>
      <c r="J101" s="180">
        <v>0</v>
      </c>
      <c r="K101" s="180"/>
      <c r="L101" s="181">
        <v>0</v>
      </c>
      <c r="M101" s="181">
        <v>0</v>
      </c>
      <c r="N101" s="182"/>
      <c r="O101" s="180">
        <v>39</v>
      </c>
      <c r="P101" s="181">
        <v>1.856731122595655E-05</v>
      </c>
      <c r="Q101" s="181">
        <v>0.7384615384615385</v>
      </c>
      <c r="R101" s="61"/>
    </row>
    <row r="102" ht="15" customHeight="1">
      <c r="B102" s="12"/>
      <c r="C102" s="139" t="s">
        <v>8</v>
      </c>
      <c r="D102" s="140"/>
      <c r="E102" s="128">
        <v>2532</v>
      </c>
      <c r="F102" s="129">
        <v>34.684931506849317</v>
      </c>
      <c r="G102" s="130">
        <v>80348.190000000061</v>
      </c>
      <c r="H102" s="130">
        <v>26822.650000000009</v>
      </c>
      <c r="I102" s="130">
        <v>0</v>
      </c>
      <c r="J102" s="130">
        <v>40526.389999999985</v>
      </c>
      <c r="K102" s="130">
        <v>16.005683254344387</v>
      </c>
      <c r="L102" s="131">
        <v>1.0000000000000002</v>
      </c>
      <c r="M102" s="131">
        <v>0.83821477496879448</v>
      </c>
      <c r="N102" s="138"/>
      <c r="O102" s="130">
        <v>10.967801913195912</v>
      </c>
      <c r="P102" s="131">
        <v>1</v>
      </c>
      <c r="Q102" s="131">
        <v>0.86233657514337936</v>
      </c>
      <c r="R102" s="61"/>
    </row>
    <row r="103" ht="15" customHeight="1">
      <c r="B103" s="12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23"/>
      <c r="Q103" s="23"/>
      <c r="R103" s="61"/>
    </row>
    <row r="104" ht="15" customHeight="1">
      <c r="B104" s="12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23"/>
      <c r="Q104" s="23"/>
      <c r="R104" s="61"/>
    </row>
    <row r="105" ht="15" customHeight="1">
      <c r="B105" s="12"/>
      <c r="C105" s="140" t="s">
        <v>275</v>
      </c>
      <c r="D105" s="140"/>
      <c r="E105" s="4"/>
      <c r="F105" s="4"/>
      <c r="G105" s="4"/>
      <c r="H105" s="159">
        <v>0.3983</v>
      </c>
      <c r="I105" s="159">
        <v>0</v>
      </c>
      <c r="J105" s="159">
        <v>0.6017</v>
      </c>
      <c r="K105" s="4"/>
      <c r="L105" s="4"/>
      <c r="M105" s="4"/>
      <c r="N105" s="4"/>
      <c r="O105" s="4"/>
      <c r="P105" s="23"/>
      <c r="Q105" s="23"/>
      <c r="R105" s="61"/>
    </row>
    <row r="106" ht="15" customHeight="1">
      <c r="B106" s="12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23"/>
      <c r="Q106" s="23"/>
      <c r="R106" s="61"/>
    </row>
    <row r="107" ht="15" customHeight="1">
      <c r="B107" s="12"/>
      <c r="C107" s="140" t="s">
        <v>276</v>
      </c>
      <c r="D107" s="140"/>
      <c r="E107" s="4"/>
      <c r="F107" s="4"/>
      <c r="G107" s="130">
        <v>1100.66</v>
      </c>
      <c r="H107" s="130">
        <v>367.43</v>
      </c>
      <c r="I107" s="130">
        <v>0</v>
      </c>
      <c r="J107" s="130">
        <v>555.16</v>
      </c>
      <c r="K107" s="4"/>
      <c r="L107" s="4"/>
      <c r="M107" s="4"/>
      <c r="N107" s="4"/>
      <c r="O107" s="4"/>
      <c r="P107" s="23"/>
      <c r="Q107" s="23"/>
      <c r="R107" s="61"/>
    </row>
    <row r="108" ht="15" customHeight="1">
      <c r="B108" s="12"/>
      <c r="C108" s="140" t="s">
        <v>277</v>
      </c>
      <c r="D108" s="140"/>
      <c r="E108" s="4"/>
      <c r="F108" s="4"/>
      <c r="G108" s="130">
        <v>2434.79</v>
      </c>
      <c r="H108" s="130">
        <v>812.81</v>
      </c>
      <c r="I108" s="130">
        <v>0</v>
      </c>
      <c r="J108" s="130">
        <v>1228.07</v>
      </c>
      <c r="K108" s="4"/>
      <c r="L108" s="4"/>
      <c r="M108" s="4"/>
      <c r="N108" s="4"/>
      <c r="O108" s="4"/>
      <c r="P108" s="23"/>
      <c r="Q108" s="23"/>
      <c r="R108" s="61"/>
    </row>
    <row r="109" ht="15" customHeight="1">
      <c r="B109" s="12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23"/>
      <c r="Q109" s="23"/>
      <c r="R109" s="61"/>
    </row>
    <row r="110" ht="15" customHeight="1">
      <c r="B110" s="12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23"/>
      <c r="Q110" s="23"/>
      <c r="R110" s="61"/>
    </row>
    <row r="111" ht="12" customHeight="1">
      <c r="B111" s="13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2"/>
      <c r="Q111" s="142"/>
      <c r="R111" s="62"/>
    </row>
  </sheetData>
  <mergeCells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4" tint="0.79998168889431442"/>
    <pageSetUpPr fitToPage="1"/>
  </sheetPr>
  <dimension ref="A1:AD76"/>
  <sheetViews>
    <sheetView showGridLines="0" topLeftCell="A13" zoomScale="85" zoomScaleNormal="85" workbookViewId="0">
      <selection activeCell="J35" sqref="J35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4.285156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8.5703125" customWidth="1"/>
    <col min="11" max="11" width="18.5703125" customWidth="1"/>
    <col min="12" max="12" width="4.285156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H4" s="43"/>
      <c r="S4" s="61"/>
    </row>
    <row r="5">
      <c r="B5" s="12"/>
      <c r="S5" s="61"/>
    </row>
    <row r="6">
      <c r="B6" s="12"/>
      <c r="S6" s="61"/>
    </row>
    <row r="7">
      <c r="B7" s="12"/>
      <c r="S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5"/>
      <c r="S8" s="61"/>
    </row>
    <row r="9" ht="11.25" customHeight="1">
      <c r="B9" s="12"/>
      <c r="S9" s="61"/>
    </row>
    <row r="10" ht="7.5" customHeight="1">
      <c r="B10" s="12"/>
      <c r="S10" s="61"/>
    </row>
    <row r="11">
      <c r="B11" s="12"/>
      <c r="D11" s="262" t="s">
        <v>287</v>
      </c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S11" s="61"/>
    </row>
    <row r="12">
      <c r="B12" s="12"/>
      <c r="S12" s="61"/>
      <c r="AD12" s="71"/>
    </row>
    <row r="13" s="69" customFormat="1">
      <c r="A13" s="68"/>
      <c r="B13" s="12"/>
      <c r="D13" s="262" t="s">
        <v>288</v>
      </c>
      <c r="E13" s="262"/>
      <c r="F13" s="262"/>
      <c r="G13" s="262"/>
      <c r="H13" s="72"/>
      <c r="O13" s="262" t="s">
        <v>289</v>
      </c>
      <c r="P13" s="262"/>
      <c r="Q13" s="262"/>
      <c r="S13" s="61"/>
    </row>
    <row r="14">
      <c r="B14" s="12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61"/>
    </row>
    <row r="15">
      <c r="B15" s="12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61"/>
    </row>
    <row r="16">
      <c r="B16" s="12"/>
      <c r="C16" s="15"/>
      <c r="D16" s="15"/>
      <c r="E16" s="15"/>
      <c r="F16" s="70"/>
      <c r="G16" s="70"/>
      <c r="H16" s="70"/>
      <c r="I16" s="70"/>
      <c r="J16" s="70"/>
      <c r="K16" s="70"/>
      <c r="L16" s="70"/>
      <c r="M16" s="70"/>
      <c r="N16" s="15"/>
      <c r="O16" s="15"/>
      <c r="P16" s="15"/>
      <c r="Q16" s="15"/>
      <c r="R16" s="15"/>
      <c r="S16" s="61"/>
    </row>
    <row r="17">
      <c r="B17" s="12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61"/>
    </row>
    <row r="18">
      <c r="B18" s="12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61"/>
    </row>
    <row r="19">
      <c r="B19" s="12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61"/>
    </row>
    <row r="20">
      <c r="B20" s="12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61"/>
    </row>
    <row r="21">
      <c r="B21" s="12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61"/>
    </row>
    <row r="22">
      <c r="B22" s="1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61"/>
    </row>
    <row r="23">
      <c r="B23" s="12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61"/>
    </row>
    <row r="24">
      <c r="B24" s="12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61"/>
    </row>
    <row r="25">
      <c r="B25" s="1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61"/>
    </row>
    <row r="26">
      <c r="B26" s="1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61"/>
    </row>
    <row r="27">
      <c r="B27" s="12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61"/>
    </row>
    <row r="28">
      <c r="B28" s="12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61"/>
    </row>
    <row r="29" s="69" customFormat="1">
      <c r="A29" s="68"/>
      <c r="B29" s="12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1"/>
    </row>
    <row r="30">
      <c r="B30" s="12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61"/>
    </row>
    <row r="31" s="69" customFormat="1">
      <c r="A31" s="68"/>
      <c r="B31" s="12"/>
      <c r="C31" s="68"/>
      <c r="D31" s="263" t="s">
        <v>290</v>
      </c>
      <c r="E31" s="263"/>
      <c r="F31" s="263"/>
      <c r="G31" s="263"/>
      <c r="H31" s="68"/>
      <c r="I31" s="68"/>
      <c r="L31" s="68"/>
      <c r="M31" s="68"/>
      <c r="O31" s="134" t="s">
        <v>291</v>
      </c>
      <c r="P31" s="73"/>
      <c r="Q31" s="73"/>
      <c r="R31" s="68"/>
      <c r="S31" s="61"/>
    </row>
    <row r="32" s="132" customFormat="1">
      <c r="B32" s="81"/>
      <c r="J32" s="133"/>
      <c r="K32" s="133"/>
      <c r="S32" s="82"/>
    </row>
    <row r="33">
      <c r="B33" s="12"/>
      <c r="H33" s="72"/>
      <c r="J33" s="15"/>
      <c r="K33" s="75"/>
      <c r="S33" s="61"/>
    </row>
    <row r="34">
      <c r="B34" s="12"/>
      <c r="C34" s="15"/>
      <c r="D34" s="15"/>
      <c r="E34" s="15">
        <v>0</v>
      </c>
      <c r="F34" s="15"/>
      <c r="G34" s="15"/>
      <c r="H34" s="15"/>
      <c r="I34" s="15"/>
      <c r="J34" s="248">
        <v>0.86614104461880082</v>
      </c>
      <c r="K34" s="248">
        <v>0.93224282505416611</v>
      </c>
      <c r="L34" s="15"/>
      <c r="M34" s="15"/>
      <c r="N34" s="15"/>
      <c r="O34" s="15"/>
      <c r="P34" s="15"/>
      <c r="Q34" s="15"/>
      <c r="R34" s="15"/>
      <c r="S34" s="61"/>
    </row>
    <row r="35">
      <c r="B35" s="12"/>
      <c r="C35" s="15"/>
      <c r="D35" s="15"/>
      <c r="E35" s="15"/>
      <c r="F35" s="15"/>
      <c r="G35" s="15"/>
      <c r="H35" s="15"/>
      <c r="I35" s="15"/>
      <c r="J35" s="248">
        <v>0.64166326946596008</v>
      </c>
      <c r="K35" s="248">
        <v>0.72449147429868277</v>
      </c>
      <c r="L35" s="15"/>
      <c r="M35" s="15"/>
      <c r="N35" s="15"/>
      <c r="O35" s="15"/>
      <c r="P35" s="15"/>
      <c r="Q35" s="15"/>
      <c r="R35" s="15"/>
      <c r="S35" s="61"/>
    </row>
    <row r="36">
      <c r="B36" s="12"/>
      <c r="C36" s="15"/>
      <c r="D36" s="15"/>
      <c r="E36" s="15"/>
      <c r="F36" s="15"/>
      <c r="G36" s="15"/>
      <c r="H36" s="15"/>
      <c r="I36" s="15"/>
      <c r="J36" s="248">
        <v>0.84006509130256546</v>
      </c>
      <c r="K36" s="248">
        <v>0.75718681748435945</v>
      </c>
      <c r="L36" s="15"/>
      <c r="M36" s="15"/>
      <c r="N36" s="15"/>
      <c r="O36" s="15"/>
      <c r="P36" s="15"/>
      <c r="Q36" s="15"/>
      <c r="R36" s="15"/>
      <c r="S36" s="61"/>
    </row>
    <row r="37">
      <c r="B37" s="12"/>
      <c r="C37" s="15"/>
      <c r="D37" s="15"/>
      <c r="E37" s="15"/>
      <c r="F37" s="15"/>
      <c r="G37" s="15"/>
      <c r="H37" s="15"/>
      <c r="I37" s="15"/>
      <c r="J37" s="248">
        <v>0.71525565038779926</v>
      </c>
      <c r="K37" s="248">
        <v>0.91552398849854155</v>
      </c>
      <c r="L37" s="15"/>
      <c r="M37" s="15"/>
      <c r="N37" s="15"/>
      <c r="O37" s="15"/>
      <c r="P37" s="15"/>
      <c r="Q37" s="15"/>
      <c r="R37" s="15"/>
      <c r="S37" s="61"/>
    </row>
    <row r="38">
      <c r="B38" s="12"/>
      <c r="C38" s="15"/>
      <c r="D38" s="15"/>
      <c r="E38" s="15"/>
      <c r="F38" s="15"/>
      <c r="G38" s="15"/>
      <c r="H38" s="15"/>
      <c r="I38" s="15"/>
      <c r="J38" s="248">
        <v>0.84495038165537129</v>
      </c>
      <c r="K38" s="248">
        <v>0.77483369660121415</v>
      </c>
      <c r="L38" s="15"/>
      <c r="M38" s="15"/>
      <c r="N38" s="15"/>
      <c r="O38" s="15"/>
      <c r="P38" s="15"/>
      <c r="Q38" s="15"/>
      <c r="R38" s="15"/>
      <c r="S38" s="61"/>
    </row>
    <row r="39">
      <c r="B39" s="12"/>
      <c r="C39" s="15"/>
      <c r="D39" s="15"/>
      <c r="E39" s="15"/>
      <c r="F39" s="15"/>
      <c r="G39" s="15"/>
      <c r="H39" s="15"/>
      <c r="I39" s="15"/>
      <c r="J39" s="248"/>
      <c r="K39" s="248"/>
      <c r="L39" s="15"/>
      <c r="M39" s="15"/>
      <c r="N39" s="15"/>
      <c r="O39" s="15"/>
      <c r="P39" s="15"/>
      <c r="Q39" s="15"/>
      <c r="R39" s="15"/>
      <c r="S39" s="61"/>
    </row>
    <row r="40">
      <c r="B40" s="12"/>
      <c r="C40" s="15"/>
      <c r="D40" s="15"/>
      <c r="E40" s="15"/>
      <c r="F40" s="15"/>
      <c r="G40" s="15"/>
      <c r="H40" s="15"/>
      <c r="I40" s="15"/>
      <c r="J40" s="248"/>
      <c r="K40" s="248"/>
      <c r="L40" s="15"/>
      <c r="M40" s="15"/>
      <c r="N40" s="15"/>
      <c r="O40" s="15"/>
      <c r="P40" s="15"/>
      <c r="Q40" s="15"/>
      <c r="R40" s="15"/>
      <c r="S40" s="61"/>
    </row>
    <row r="41">
      <c r="B41" s="12"/>
      <c r="C41" s="15"/>
      <c r="D41" s="15"/>
      <c r="E41" s="15"/>
      <c r="F41" s="15"/>
      <c r="G41" s="15"/>
      <c r="H41" s="15"/>
      <c r="I41" s="15"/>
      <c r="J41" s="248"/>
      <c r="K41" s="248"/>
      <c r="L41" s="15"/>
      <c r="M41" s="15"/>
      <c r="N41" s="15"/>
      <c r="O41" s="15"/>
      <c r="P41" s="15"/>
      <c r="Q41" s="15"/>
      <c r="R41" s="15"/>
      <c r="S41" s="61"/>
    </row>
    <row r="42">
      <c r="B42" s="12"/>
      <c r="C42" s="15"/>
      <c r="D42" s="15"/>
      <c r="E42" s="15"/>
      <c r="F42" s="15"/>
      <c r="G42" s="15"/>
      <c r="H42" s="15"/>
      <c r="I42" s="15"/>
      <c r="J42" s="248"/>
      <c r="K42" s="248"/>
      <c r="L42" s="15"/>
      <c r="M42" s="15"/>
      <c r="N42" s="15"/>
      <c r="O42" s="15"/>
      <c r="P42" s="15"/>
      <c r="Q42" s="15"/>
      <c r="R42" s="15"/>
      <c r="S42" s="61"/>
    </row>
    <row r="43">
      <c r="B43" s="12"/>
      <c r="C43" s="15"/>
      <c r="D43" s="15"/>
      <c r="E43" s="15"/>
      <c r="F43" s="15"/>
      <c r="G43" s="15"/>
      <c r="H43" s="15"/>
      <c r="I43" s="15"/>
      <c r="J43" s="248"/>
      <c r="K43" s="248"/>
      <c r="L43" s="15"/>
      <c r="M43" s="15"/>
      <c r="N43" s="15"/>
      <c r="O43" s="15"/>
      <c r="P43" s="15"/>
      <c r="Q43" s="15"/>
      <c r="R43" s="15"/>
      <c r="S43" s="61"/>
    </row>
    <row r="44">
      <c r="B44" s="12"/>
      <c r="C44" s="15"/>
      <c r="D44" s="15"/>
      <c r="E44" s="15"/>
      <c r="F44" s="15"/>
      <c r="G44" s="15"/>
      <c r="H44" s="15"/>
      <c r="I44" s="15"/>
      <c r="J44" s="248"/>
      <c r="K44" s="248"/>
      <c r="L44" s="15"/>
      <c r="M44" s="15"/>
      <c r="N44" s="15"/>
      <c r="O44" s="15"/>
      <c r="P44" s="15"/>
      <c r="Q44" s="15"/>
      <c r="R44" s="15"/>
      <c r="S44" s="61"/>
    </row>
    <row r="45">
      <c r="B45" s="12"/>
      <c r="C45" s="15"/>
      <c r="D45" s="15"/>
      <c r="E45" s="15"/>
      <c r="F45" s="15"/>
      <c r="G45" s="15"/>
      <c r="H45" s="15"/>
      <c r="I45" s="15"/>
      <c r="J45" s="248"/>
      <c r="K45" s="248"/>
      <c r="L45" s="15"/>
      <c r="M45" s="15"/>
      <c r="N45" s="15"/>
      <c r="O45" s="15"/>
      <c r="P45" s="15"/>
      <c r="Q45" s="15"/>
      <c r="R45" s="15"/>
      <c r="S45" s="61"/>
    </row>
    <row r="46">
      <c r="B46" s="12"/>
      <c r="C46" s="15"/>
      <c r="D46" s="15"/>
      <c r="E46" s="15"/>
      <c r="F46" s="15"/>
      <c r="G46" s="15"/>
      <c r="H46" s="15"/>
      <c r="I46" s="15"/>
      <c r="J46" s="248"/>
      <c r="K46" s="248"/>
      <c r="L46" s="15"/>
      <c r="M46" s="15"/>
      <c r="N46" s="15"/>
      <c r="O46" s="15"/>
      <c r="P46" s="15"/>
      <c r="Q46" s="15"/>
      <c r="R46" s="15"/>
      <c r="S46" s="61"/>
    </row>
    <row r="47">
      <c r="B47" s="12"/>
      <c r="C47" s="15"/>
      <c r="D47" s="15"/>
      <c r="E47" s="15"/>
      <c r="F47" s="15"/>
      <c r="G47" s="15"/>
      <c r="H47" s="15"/>
      <c r="I47" s="15"/>
      <c r="J47" s="248"/>
      <c r="K47" s="248"/>
      <c r="L47" s="15"/>
      <c r="M47" s="15"/>
      <c r="N47" s="15"/>
      <c r="O47" s="15"/>
      <c r="P47" s="15"/>
      <c r="Q47" s="15"/>
      <c r="R47" s="15"/>
      <c r="S47" s="61"/>
    </row>
    <row r="48">
      <c r="B48" s="12"/>
      <c r="C48" s="15"/>
      <c r="D48" s="15"/>
      <c r="E48" s="15"/>
      <c r="F48" s="15"/>
      <c r="G48" s="15"/>
      <c r="H48" s="15"/>
      <c r="I48" s="15"/>
      <c r="J48" s="248"/>
      <c r="K48" s="248"/>
      <c r="L48" s="15"/>
      <c r="M48" s="15"/>
      <c r="N48" s="15"/>
      <c r="O48" s="15"/>
      <c r="P48" s="15"/>
      <c r="Q48" s="15"/>
      <c r="R48" s="15"/>
      <c r="S48" s="61"/>
    </row>
    <row r="49">
      <c r="B49" s="12"/>
      <c r="C49" s="15"/>
      <c r="D49" s="15"/>
      <c r="E49" s="15"/>
      <c r="F49" s="15"/>
      <c r="G49" s="15"/>
      <c r="H49" s="15"/>
      <c r="I49" s="15"/>
      <c r="J49" s="75"/>
      <c r="K49" s="75"/>
      <c r="L49" s="15"/>
      <c r="M49" s="15"/>
      <c r="N49" s="15"/>
      <c r="O49" s="15"/>
      <c r="P49" s="15"/>
      <c r="Q49" s="15"/>
      <c r="R49" s="15"/>
      <c r="S49" s="61"/>
    </row>
    <row r="50">
      <c r="B50" s="12"/>
      <c r="J50" s="75"/>
      <c r="K50" s="75"/>
      <c r="S50" s="61"/>
    </row>
    <row r="51">
      <c r="B51" s="13"/>
      <c r="C51" s="14"/>
      <c r="D51" s="14"/>
      <c r="E51" s="14"/>
      <c r="F51" s="14"/>
      <c r="G51" s="14"/>
      <c r="H51" s="14"/>
      <c r="I51" s="14"/>
      <c r="J51" s="76"/>
      <c r="K51" s="14"/>
      <c r="L51" s="14"/>
      <c r="M51" s="14"/>
      <c r="N51" s="14"/>
      <c r="O51" s="14"/>
      <c r="P51" s="14"/>
      <c r="Q51" s="14"/>
      <c r="R51" s="14"/>
      <c r="S51" s="62"/>
    </row>
    <row r="66">
      <c r="E66" s="157"/>
      <c r="F66" s="158" t="s">
        <v>292</v>
      </c>
      <c r="G66" s="158" t="s">
        <v>293</v>
      </c>
      <c r="H66" s="158" t="s">
        <v>270</v>
      </c>
      <c r="I66" s="158" t="s">
        <v>268</v>
      </c>
      <c r="J66" s="158" t="s">
        <v>294</v>
      </c>
      <c r="K66" s="158" t="s">
        <v>270</v>
      </c>
      <c r="L66" s="158" t="s">
        <v>295</v>
      </c>
      <c r="M66" s="158" t="s">
        <v>292</v>
      </c>
      <c r="N66" s="158" t="s">
        <v>293</v>
      </c>
    </row>
    <row r="67">
      <c r="E67" s="157" t="s">
        <v>67</v>
      </c>
      <c r="F67" s="157">
        <v>9606.92</v>
      </c>
      <c r="G67" s="157">
        <v>1955768.559999994</v>
      </c>
      <c r="H67" s="157">
        <v>9606.92</v>
      </c>
      <c r="I67" s="157">
        <v>3820.44</v>
      </c>
      <c r="J67" s="157">
        <v>0</v>
      </c>
      <c r="K67" s="157">
        <v>9606.92</v>
      </c>
      <c r="L67" s="157">
        <v>2463.9399999999987</v>
      </c>
      <c r="M67" s="157">
        <v>74.47224806201551</v>
      </c>
      <c r="N67" s="157">
        <v>79.4575672381569</v>
      </c>
    </row>
    <row r="68">
      <c r="E68" s="157" t="s">
        <v>98</v>
      </c>
      <c r="F68" s="157">
        <v>2492.61</v>
      </c>
      <c r="G68" s="157">
        <v>850281.63999999978</v>
      </c>
      <c r="H68" s="157">
        <v>2492.61</v>
      </c>
      <c r="I68" s="157">
        <v>2466.05</v>
      </c>
      <c r="J68" s="157">
        <v>0</v>
      </c>
      <c r="K68" s="157">
        <v>2492.61</v>
      </c>
      <c r="L68" s="157">
        <v>1974.0499999999997</v>
      </c>
      <c r="M68" s="157">
        <v>75.533636363636361</v>
      </c>
      <c r="N68" s="157">
        <v>58.382425157923635</v>
      </c>
    </row>
    <row r="69">
      <c r="E69" s="157" t="s">
        <v>116</v>
      </c>
      <c r="F69" s="157">
        <v>9997.58</v>
      </c>
      <c r="G69" s="157">
        <v>1851417.6400000041</v>
      </c>
      <c r="H69" s="157">
        <v>9997.58</v>
      </c>
      <c r="I69" s="157">
        <v>1.95</v>
      </c>
      <c r="J69" s="157">
        <v>0</v>
      </c>
      <c r="K69" s="157">
        <v>9997.58</v>
      </c>
      <c r="L69" s="157">
        <v>1903.7499999999982</v>
      </c>
      <c r="M69" s="157">
        <v>140.81098591549295</v>
      </c>
      <c r="N69" s="157">
        <v>128.41015674850908</v>
      </c>
    </row>
    <row r="70">
      <c r="E70" s="157" t="s">
        <v>129</v>
      </c>
      <c r="F70" s="157">
        <v>1574</v>
      </c>
      <c r="G70" s="157">
        <v>268062.72</v>
      </c>
      <c r="H70" s="157">
        <v>1574</v>
      </c>
      <c r="I70" s="157">
        <v>0</v>
      </c>
      <c r="J70" s="157">
        <v>0</v>
      </c>
      <c r="K70" s="157">
        <v>1574</v>
      </c>
      <c r="L70" s="157">
        <v>879</v>
      </c>
      <c r="M70" s="157">
        <v>37.476190476190474</v>
      </c>
      <c r="N70" s="157">
        <v>40.888151311775466</v>
      </c>
    </row>
    <row r="71">
      <c r="E71" s="157" t="s">
        <v>131</v>
      </c>
      <c r="F71" s="157">
        <v>16855.279999999981</v>
      </c>
      <c r="G71" s="157">
        <v>3291106.3799999049</v>
      </c>
      <c r="H71" s="157">
        <v>16855.279999999981</v>
      </c>
      <c r="I71" s="157">
        <v>20534.21000000001</v>
      </c>
      <c r="J71" s="157">
        <v>0</v>
      </c>
      <c r="K71" s="157">
        <v>16855.279999999981</v>
      </c>
      <c r="L71" s="157">
        <v>5778.4100000000763</v>
      </c>
      <c r="M71" s="157">
        <v>7.468001772264059</v>
      </c>
      <c r="N71" s="157">
        <v>4.6795199488126045</v>
      </c>
    </row>
    <row r="72">
      <c r="E72" s="157"/>
      <c r="F72" s="157"/>
      <c r="G72" s="157"/>
      <c r="H72" s="157"/>
      <c r="I72" s="157"/>
      <c r="J72" s="157"/>
      <c r="K72" s="157"/>
      <c r="L72" s="157"/>
      <c r="M72" s="157"/>
      <c r="N72" s="157"/>
    </row>
    <row r="73">
      <c r="E73" s="157"/>
      <c r="F73" s="157"/>
      <c r="G73" s="157"/>
      <c r="H73" s="157"/>
      <c r="I73" s="157"/>
      <c r="J73" s="157"/>
      <c r="K73" s="157"/>
      <c r="L73" s="157"/>
      <c r="M73" s="157"/>
      <c r="N73" s="157"/>
    </row>
    <row r="74">
      <c r="E74" s="157"/>
      <c r="F74" s="157"/>
      <c r="G74" s="157"/>
      <c r="H74" s="157"/>
      <c r="I74" s="157"/>
      <c r="J74" s="157"/>
      <c r="K74" s="157"/>
      <c r="L74" s="157"/>
      <c r="M74" s="157"/>
      <c r="N74" s="157"/>
    </row>
    <row r="75">
      <c r="E75" s="157"/>
      <c r="F75" s="157"/>
      <c r="G75" s="157"/>
      <c r="H75" s="157"/>
      <c r="I75" s="157"/>
      <c r="J75" s="157"/>
      <c r="K75" s="157"/>
      <c r="L75" s="157"/>
      <c r="M75" s="157"/>
      <c r="N75" s="157"/>
    </row>
    <row r="76">
      <c r="E76" s="157"/>
      <c r="F76" s="157"/>
      <c r="G76" s="157"/>
      <c r="H76" s="157"/>
      <c r="I76" s="157"/>
      <c r="J76" s="157"/>
      <c r="K76" s="157"/>
      <c r="L76" s="157"/>
      <c r="M76" s="157"/>
      <c r="N76" s="157"/>
    </row>
  </sheetData>
  <mergeCells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281</v>
      </c>
      <c r="D15" s="137"/>
      <c r="E15" s="65">
        <v>0</v>
      </c>
      <c r="F15" s="74">
        <v>0</v>
      </c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38"/>
      <c r="O15" s="66">
        <v>65.2403646308113</v>
      </c>
      <c r="P15" s="67">
        <v>1</v>
      </c>
      <c r="Q15" s="67">
        <v>0.76667046357425872</v>
      </c>
      <c r="R15" s="61"/>
    </row>
    <row r="16" ht="15" customHeight="1">
      <c r="B16" s="12"/>
      <c r="C16" s="176"/>
      <c r="D16" s="177" t="s">
        <v>282</v>
      </c>
      <c r="E16" s="178">
        <v>0</v>
      </c>
      <c r="F16" s="179">
        <v>0</v>
      </c>
      <c r="G16" s="180">
        <v>0</v>
      </c>
      <c r="H16" s="180">
        <v>0</v>
      </c>
      <c r="I16" s="180">
        <v>0</v>
      </c>
      <c r="J16" s="180">
        <v>0</v>
      </c>
      <c r="K16" s="180"/>
      <c r="L16" s="181">
        <v>0</v>
      </c>
      <c r="M16" s="181">
        <v>0</v>
      </c>
      <c r="N16" s="182"/>
      <c r="O16" s="180">
        <v>13.346117404737377</v>
      </c>
      <c r="P16" s="181">
        <v>0.1810719437608741</v>
      </c>
      <c r="Q16" s="181">
        <v>0.85126539150370606</v>
      </c>
      <c r="R16" s="61"/>
    </row>
    <row r="17" ht="15" customHeight="1">
      <c r="B17" s="12"/>
      <c r="C17" s="176"/>
      <c r="D17" s="177" t="s">
        <v>283</v>
      </c>
      <c r="E17" s="178">
        <v>0</v>
      </c>
      <c r="F17" s="179">
        <v>0</v>
      </c>
      <c r="G17" s="180">
        <v>0</v>
      </c>
      <c r="H17" s="180">
        <v>0</v>
      </c>
      <c r="I17" s="180">
        <v>0</v>
      </c>
      <c r="J17" s="180">
        <v>0</v>
      </c>
      <c r="K17" s="180"/>
      <c r="L17" s="181">
        <v>0</v>
      </c>
      <c r="M17" s="181">
        <v>0</v>
      </c>
      <c r="N17" s="182"/>
      <c r="O17" s="180">
        <v>0.73846153846153828</v>
      </c>
      <c r="P17" s="181">
        <v>0.00013413688781181935</v>
      </c>
      <c r="Q17" s="181">
        <v>0.12121212121212122</v>
      </c>
      <c r="R17" s="61"/>
    </row>
    <row r="18" ht="15" customHeight="1">
      <c r="B18" s="12"/>
      <c r="C18" s="176"/>
      <c r="D18" s="177" t="s">
        <v>284</v>
      </c>
      <c r="E18" s="178">
        <v>0</v>
      </c>
      <c r="F18" s="179">
        <v>0</v>
      </c>
      <c r="G18" s="180">
        <v>0</v>
      </c>
      <c r="H18" s="180">
        <v>0</v>
      </c>
      <c r="I18" s="180">
        <v>0</v>
      </c>
      <c r="J18" s="180">
        <v>0</v>
      </c>
      <c r="K18" s="180"/>
      <c r="L18" s="181">
        <v>0</v>
      </c>
      <c r="M18" s="181">
        <v>0</v>
      </c>
      <c r="N18" s="182"/>
      <c r="O18" s="180">
        <v>630</v>
      </c>
      <c r="P18" s="181">
        <v>0.017605466525301292</v>
      </c>
      <c r="Q18" s="181">
        <v>1</v>
      </c>
      <c r="R18" s="61"/>
    </row>
    <row r="19" ht="15" customHeight="1">
      <c r="B19" s="12"/>
      <c r="C19" s="176"/>
      <c r="D19" s="177" t="s">
        <v>285</v>
      </c>
      <c r="E19" s="178">
        <v>0</v>
      </c>
      <c r="F19" s="179">
        <v>0</v>
      </c>
      <c r="G19" s="180">
        <v>0</v>
      </c>
      <c r="H19" s="180">
        <v>0</v>
      </c>
      <c r="I19" s="180">
        <v>0</v>
      </c>
      <c r="J19" s="180">
        <v>0</v>
      </c>
      <c r="K19" s="180"/>
      <c r="L19" s="181">
        <v>0</v>
      </c>
      <c r="M19" s="181">
        <v>0</v>
      </c>
      <c r="N19" s="182"/>
      <c r="O19" s="180">
        <v>253.33333333333334</v>
      </c>
      <c r="P19" s="181">
        <v>0.10619170285102367</v>
      </c>
      <c r="Q19" s="181">
        <v>0.69504256384576868</v>
      </c>
      <c r="R19" s="61"/>
    </row>
    <row r="20" ht="15" customHeight="1">
      <c r="B20" s="12"/>
      <c r="C20" s="176"/>
      <c r="D20" s="177" t="s">
        <v>286</v>
      </c>
      <c r="E20" s="178">
        <v>0</v>
      </c>
      <c r="F20" s="179">
        <v>0</v>
      </c>
      <c r="G20" s="180">
        <v>0</v>
      </c>
      <c r="H20" s="180">
        <v>0</v>
      </c>
      <c r="I20" s="180">
        <v>0</v>
      </c>
      <c r="J20" s="180">
        <v>0</v>
      </c>
      <c r="K20" s="180"/>
      <c r="L20" s="181">
        <v>0</v>
      </c>
      <c r="M20" s="181">
        <v>0</v>
      </c>
      <c r="N20" s="182"/>
      <c r="O20" s="180">
        <v>304.84848484848487</v>
      </c>
      <c r="P20" s="181">
        <v>0.14056428035280238</v>
      </c>
      <c r="Q20" s="181">
        <v>0.738105443634805</v>
      </c>
      <c r="R20" s="61"/>
    </row>
    <row r="21" ht="15" customHeight="1">
      <c r="B21" s="12"/>
      <c r="C21" s="176"/>
      <c r="D21" s="177" t="s">
        <v>63</v>
      </c>
      <c r="E21" s="178">
        <v>0</v>
      </c>
      <c r="F21" s="179">
        <v>0</v>
      </c>
      <c r="G21" s="180">
        <v>0</v>
      </c>
      <c r="H21" s="180">
        <v>0</v>
      </c>
      <c r="I21" s="180">
        <v>0</v>
      </c>
      <c r="J21" s="180">
        <v>0</v>
      </c>
      <c r="K21" s="180"/>
      <c r="L21" s="181">
        <v>0</v>
      </c>
      <c r="M21" s="181">
        <v>0</v>
      </c>
      <c r="N21" s="182"/>
      <c r="O21" s="180">
        <v>826.66666666666663</v>
      </c>
      <c r="P21" s="181">
        <v>0.55443246962218673</v>
      </c>
      <c r="Q21" s="181">
        <v>0.75058999597075926</v>
      </c>
      <c r="R21" s="61"/>
    </row>
    <row r="22" ht="15" customHeight="1">
      <c r="B22" s="12"/>
      <c r="C22" s="139" t="s">
        <v>8</v>
      </c>
      <c r="D22" s="140"/>
      <c r="E22" s="128">
        <v>0</v>
      </c>
      <c r="F22" s="129">
        <v>0</v>
      </c>
      <c r="G22" s="130">
        <v>0</v>
      </c>
      <c r="H22" s="130">
        <v>0</v>
      </c>
      <c r="I22" s="130">
        <v>0</v>
      </c>
      <c r="J22" s="130">
        <v>0</v>
      </c>
      <c r="K22" s="130"/>
      <c r="L22" s="131">
        <v>0</v>
      </c>
      <c r="M22" s="131"/>
      <c r="N22" s="138"/>
      <c r="O22" s="130">
        <v>65.2403646308113</v>
      </c>
      <c r="P22" s="131">
        <v>1</v>
      </c>
      <c r="Q22" s="131">
        <v>0.76667046357425872</v>
      </c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0" t="s">
        <v>275</v>
      </c>
      <c r="D25" s="140"/>
      <c r="E25" s="4"/>
      <c r="F25" s="4"/>
      <c r="G25" s="4"/>
      <c r="H25" s="159"/>
      <c r="I25" s="159"/>
      <c r="J25" s="159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140" t="s">
        <v>276</v>
      </c>
      <c r="D27" s="140"/>
      <c r="E27" s="4"/>
      <c r="F27" s="4"/>
      <c r="G27" s="130">
        <v>0</v>
      </c>
      <c r="H27" s="130">
        <v>0</v>
      </c>
      <c r="I27" s="130">
        <v>0</v>
      </c>
      <c r="J27" s="130">
        <v>0</v>
      </c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0" t="s">
        <v>277</v>
      </c>
      <c r="D28" s="140"/>
      <c r="E28" s="4"/>
      <c r="F28" s="4"/>
      <c r="G28" s="130">
        <v>0</v>
      </c>
      <c r="H28" s="130">
        <v>0</v>
      </c>
      <c r="I28" s="130">
        <v>0</v>
      </c>
      <c r="J28" s="130">
        <v>0</v>
      </c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2" customHeight="1">
      <c r="B31" s="13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2"/>
      <c r="Q31" s="142"/>
      <c r="R31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30"/>
  <sheetViews>
    <sheetView showGridLines="0" zoomScale="70" zoomScaleNormal="70" workbookViewId="0">
      <selection activeCell="A20" sqref="A20:XFD20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55</v>
      </c>
      <c r="D15" s="137"/>
      <c r="E15" s="65">
        <v>0</v>
      </c>
      <c r="F15" s="74">
        <v>0</v>
      </c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38"/>
      <c r="O15" s="66">
        <v>120.60686274509804</v>
      </c>
      <c r="P15" s="67">
        <v>1</v>
      </c>
      <c r="Q15" s="67">
        <v>0.91896185367609284</v>
      </c>
      <c r="R15" s="61"/>
    </row>
    <row r="16" ht="15" customHeight="1">
      <c r="B16" s="12"/>
      <c r="C16" s="176"/>
      <c r="D16" s="177" t="s">
        <v>278</v>
      </c>
      <c r="E16" s="178">
        <v>0</v>
      </c>
      <c r="F16" s="179">
        <v>0</v>
      </c>
      <c r="G16" s="180">
        <v>0</v>
      </c>
      <c r="H16" s="180">
        <v>0</v>
      </c>
      <c r="I16" s="180">
        <v>0</v>
      </c>
      <c r="J16" s="180">
        <v>0</v>
      </c>
      <c r="K16" s="180"/>
      <c r="L16" s="181">
        <v>0</v>
      </c>
      <c r="M16" s="181">
        <v>0</v>
      </c>
      <c r="N16" s="182"/>
      <c r="O16" s="180">
        <v>4.5</v>
      </c>
      <c r="P16" s="181">
        <v>0.0073159430657052981</v>
      </c>
      <c r="Q16" s="181">
        <v>1</v>
      </c>
      <c r="R16" s="61"/>
    </row>
    <row r="17" ht="15" customHeight="1">
      <c r="B17" s="12"/>
      <c r="C17" s="176"/>
      <c r="D17" s="177" t="s">
        <v>60</v>
      </c>
      <c r="E17" s="178">
        <v>0</v>
      </c>
      <c r="F17" s="179">
        <v>0</v>
      </c>
      <c r="G17" s="180">
        <v>0</v>
      </c>
      <c r="H17" s="180">
        <v>0</v>
      </c>
      <c r="I17" s="180">
        <v>0</v>
      </c>
      <c r="J17" s="180">
        <v>0</v>
      </c>
      <c r="K17" s="180"/>
      <c r="L17" s="181">
        <v>0</v>
      </c>
      <c r="M17" s="181">
        <v>0</v>
      </c>
      <c r="N17" s="182"/>
      <c r="O17" s="180">
        <v>500</v>
      </c>
      <c r="P17" s="181">
        <v>0.16257651257122885</v>
      </c>
      <c r="Q17" s="181">
        <v>0.66666666666666663</v>
      </c>
      <c r="R17" s="61"/>
    </row>
    <row r="18" ht="15" customHeight="1">
      <c r="B18" s="12"/>
      <c r="C18" s="176"/>
      <c r="D18" s="177" t="s">
        <v>279</v>
      </c>
      <c r="E18" s="178">
        <v>0</v>
      </c>
      <c r="F18" s="179">
        <v>0</v>
      </c>
      <c r="G18" s="180">
        <v>0</v>
      </c>
      <c r="H18" s="180">
        <v>0</v>
      </c>
      <c r="I18" s="180">
        <v>0</v>
      </c>
      <c r="J18" s="180">
        <v>0</v>
      </c>
      <c r="K18" s="180"/>
      <c r="L18" s="181">
        <v>0</v>
      </c>
      <c r="M18" s="181">
        <v>0</v>
      </c>
      <c r="N18" s="182"/>
      <c r="O18" s="180">
        <v>363.79</v>
      </c>
      <c r="P18" s="181">
        <v>0.059143709508287345</v>
      </c>
      <c r="Q18" s="181">
        <v>1</v>
      </c>
      <c r="R18" s="61"/>
    </row>
    <row r="19" ht="15" customHeight="1">
      <c r="B19" s="12"/>
      <c r="C19" s="176"/>
      <c r="D19" s="177" t="s">
        <v>111</v>
      </c>
      <c r="E19" s="178">
        <v>0</v>
      </c>
      <c r="F19" s="179">
        <v>0</v>
      </c>
      <c r="G19" s="180">
        <v>0</v>
      </c>
      <c r="H19" s="180">
        <v>0</v>
      </c>
      <c r="I19" s="180">
        <v>0</v>
      </c>
      <c r="J19" s="180">
        <v>0</v>
      </c>
      <c r="K19" s="180"/>
      <c r="L19" s="181">
        <v>0</v>
      </c>
      <c r="M19" s="181">
        <v>0</v>
      </c>
      <c r="N19" s="182"/>
      <c r="O19" s="180">
        <v>53.611111111111114</v>
      </c>
      <c r="P19" s="181">
        <v>0.31377266926247166</v>
      </c>
      <c r="Q19" s="181">
        <v>0.91469194312796209</v>
      </c>
      <c r="R19" s="61"/>
    </row>
    <row r="20" ht="15" customHeight="1">
      <c r="B20" s="12"/>
      <c r="C20" s="176"/>
      <c r="D20" s="177" t="s">
        <v>280</v>
      </c>
      <c r="E20" s="178">
        <v>0</v>
      </c>
      <c r="F20" s="179">
        <v>0</v>
      </c>
      <c r="G20" s="180">
        <v>0</v>
      </c>
      <c r="H20" s="180">
        <v>0</v>
      </c>
      <c r="I20" s="180">
        <v>0</v>
      </c>
      <c r="J20" s="180">
        <v>0</v>
      </c>
      <c r="K20" s="180"/>
      <c r="L20" s="181">
        <v>0</v>
      </c>
      <c r="M20" s="181">
        <v>0</v>
      </c>
      <c r="N20" s="182"/>
      <c r="O20" s="180">
        <v>1406.0800000000002</v>
      </c>
      <c r="P20" s="181">
        <v>0.45719116559230694</v>
      </c>
      <c r="Q20" s="181">
        <v>1</v>
      </c>
      <c r="R20" s="61"/>
    </row>
    <row r="21" ht="15" customHeight="1">
      <c r="B21" s="12"/>
      <c r="C21" s="139" t="s">
        <v>8</v>
      </c>
      <c r="D21" s="140"/>
      <c r="E21" s="128">
        <v>0</v>
      </c>
      <c r="F21" s="129">
        <v>0</v>
      </c>
      <c r="G21" s="130">
        <v>0</v>
      </c>
      <c r="H21" s="130">
        <v>0</v>
      </c>
      <c r="I21" s="130">
        <v>0</v>
      </c>
      <c r="J21" s="130">
        <v>0</v>
      </c>
      <c r="K21" s="130"/>
      <c r="L21" s="131">
        <v>0</v>
      </c>
      <c r="M21" s="131"/>
      <c r="N21" s="138"/>
      <c r="O21" s="130">
        <v>120.60686274509804</v>
      </c>
      <c r="P21" s="131">
        <v>1</v>
      </c>
      <c r="Q21" s="131">
        <v>0.91896185367609284</v>
      </c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140" t="s">
        <v>275</v>
      </c>
      <c r="D24" s="140"/>
      <c r="E24" s="4"/>
      <c r="F24" s="4"/>
      <c r="G24" s="4"/>
      <c r="H24" s="159"/>
      <c r="I24" s="159"/>
      <c r="J24" s="159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0" t="s">
        <v>276</v>
      </c>
      <c r="D26" s="140"/>
      <c r="E26" s="4"/>
      <c r="F26" s="4"/>
      <c r="G26" s="130">
        <v>0</v>
      </c>
      <c r="H26" s="130">
        <v>0</v>
      </c>
      <c r="I26" s="130">
        <v>0</v>
      </c>
      <c r="J26" s="130">
        <v>0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140" t="s">
        <v>277</v>
      </c>
      <c r="D27" s="140"/>
      <c r="E27" s="4"/>
      <c r="F27" s="4"/>
      <c r="G27" s="130">
        <v>0</v>
      </c>
      <c r="H27" s="130">
        <v>0</v>
      </c>
      <c r="I27" s="130">
        <v>0</v>
      </c>
      <c r="J27" s="130">
        <v>0</v>
      </c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2" customHeight="1">
      <c r="B30" s="13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2"/>
      <c r="Q30" s="142"/>
      <c r="R30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274</v>
      </c>
      <c r="D15" s="137"/>
      <c r="E15" s="65">
        <v>0</v>
      </c>
      <c r="F15" s="74">
        <v>0</v>
      </c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38"/>
      <c r="O15" s="66">
        <v>34.215586206896553</v>
      </c>
      <c r="P15" s="67">
        <v>1</v>
      </c>
      <c r="Q15" s="67">
        <v>0.72565318562875869</v>
      </c>
      <c r="R15" s="61"/>
    </row>
    <row r="16" ht="15" customHeight="1">
      <c r="B16" s="12"/>
      <c r="C16" s="176"/>
      <c r="D16" s="177" t="s">
        <v>65</v>
      </c>
      <c r="E16" s="178">
        <v>0</v>
      </c>
      <c r="F16" s="179">
        <v>0</v>
      </c>
      <c r="G16" s="180">
        <v>0</v>
      </c>
      <c r="H16" s="180">
        <v>0</v>
      </c>
      <c r="I16" s="180">
        <v>0</v>
      </c>
      <c r="J16" s="180">
        <v>0</v>
      </c>
      <c r="K16" s="180"/>
      <c r="L16" s="181">
        <v>0</v>
      </c>
      <c r="M16" s="181">
        <v>0</v>
      </c>
      <c r="N16" s="182"/>
      <c r="O16" s="180">
        <v>34.215586206896553</v>
      </c>
      <c r="P16" s="181">
        <v>1</v>
      </c>
      <c r="Q16" s="181">
        <v>0.72565318562875869</v>
      </c>
      <c r="R16" s="61"/>
    </row>
    <row r="17" ht="15" customHeight="1">
      <c r="B17" s="12"/>
      <c r="C17" s="139" t="s">
        <v>8</v>
      </c>
      <c r="D17" s="140"/>
      <c r="E17" s="128">
        <v>0</v>
      </c>
      <c r="F17" s="129">
        <v>0</v>
      </c>
      <c r="G17" s="130">
        <v>0</v>
      </c>
      <c r="H17" s="130">
        <v>0</v>
      </c>
      <c r="I17" s="130">
        <v>0</v>
      </c>
      <c r="J17" s="130">
        <v>0</v>
      </c>
      <c r="K17" s="130"/>
      <c r="L17" s="131">
        <v>0</v>
      </c>
      <c r="M17" s="131"/>
      <c r="N17" s="138"/>
      <c r="O17" s="130">
        <v>34.215586206896553</v>
      </c>
      <c r="P17" s="131">
        <v>1</v>
      </c>
      <c r="Q17" s="131">
        <v>0.72565318562875869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0" t="s">
        <v>275</v>
      </c>
      <c r="D20" s="140"/>
      <c r="E20" s="4"/>
      <c r="F20" s="4"/>
      <c r="G20" s="4"/>
      <c r="H20" s="159"/>
      <c r="I20" s="159"/>
      <c r="J20" s="159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0" t="s">
        <v>276</v>
      </c>
      <c r="D22" s="140"/>
      <c r="E22" s="4"/>
      <c r="F22" s="4"/>
      <c r="G22" s="130">
        <v>0</v>
      </c>
      <c r="H22" s="130">
        <v>0</v>
      </c>
      <c r="I22" s="130">
        <v>0</v>
      </c>
      <c r="J22" s="130">
        <v>0</v>
      </c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0" t="s">
        <v>277</v>
      </c>
      <c r="D23" s="140"/>
      <c r="E23" s="4"/>
      <c r="F23" s="4"/>
      <c r="G23" s="130">
        <v>0</v>
      </c>
      <c r="H23" s="130">
        <v>0</v>
      </c>
      <c r="I23" s="130">
        <v>0</v>
      </c>
      <c r="J23" s="130">
        <v>0</v>
      </c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2"/>
      <c r="Q26" s="142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32"/>
  <sheetViews>
    <sheetView showGridLines="0" zoomScale="70" zoomScaleNormal="70" workbookViewId="0">
      <selection activeCell="A19" sqref="A19:XFD19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67</v>
      </c>
      <c r="D15" s="137"/>
      <c r="E15" s="65">
        <v>129</v>
      </c>
      <c r="F15" s="74">
        <v>1.7671232876712328</v>
      </c>
      <c r="G15" s="66">
        <v>15891.3</v>
      </c>
      <c r="H15" s="66">
        <v>3820.44</v>
      </c>
      <c r="I15" s="66">
        <v>0</v>
      </c>
      <c r="J15" s="66">
        <v>9606.92</v>
      </c>
      <c r="K15" s="66">
        <v>74.47224806201551</v>
      </c>
      <c r="L15" s="67">
        <v>1</v>
      </c>
      <c r="M15" s="67">
        <v>0.84495038165537129</v>
      </c>
      <c r="N15" s="138"/>
      <c r="O15" s="66">
        <v>79.4575672381569</v>
      </c>
      <c r="P15" s="67">
        <v>1</v>
      </c>
      <c r="Q15" s="67">
        <v>0.77483369660121415</v>
      </c>
      <c r="R15" s="61"/>
    </row>
    <row r="16" ht="15" customHeight="1">
      <c r="B16" s="12"/>
      <c r="C16" s="176"/>
      <c r="D16" s="177" t="s">
        <v>56</v>
      </c>
      <c r="E16" s="178">
        <v>0</v>
      </c>
      <c r="F16" s="179">
        <v>0</v>
      </c>
      <c r="G16" s="180">
        <v>0</v>
      </c>
      <c r="H16" s="180">
        <v>0</v>
      </c>
      <c r="I16" s="180">
        <v>0</v>
      </c>
      <c r="J16" s="180">
        <v>0</v>
      </c>
      <c r="K16" s="180"/>
      <c r="L16" s="181">
        <v>0</v>
      </c>
      <c r="M16" s="181">
        <v>0</v>
      </c>
      <c r="N16" s="182"/>
      <c r="O16" s="180">
        <v>7.3176926464113</v>
      </c>
      <c r="P16" s="181">
        <v>0.016994321659409551</v>
      </c>
      <c r="Q16" s="181">
        <v>0.99107234454247373</v>
      </c>
      <c r="R16" s="61"/>
    </row>
    <row r="17" ht="15" customHeight="1">
      <c r="B17" s="12"/>
      <c r="C17" s="176"/>
      <c r="D17" s="177" t="s">
        <v>159</v>
      </c>
      <c r="E17" s="178">
        <v>0</v>
      </c>
      <c r="F17" s="179">
        <v>0</v>
      </c>
      <c r="G17" s="180">
        <v>0</v>
      </c>
      <c r="H17" s="180">
        <v>0</v>
      </c>
      <c r="I17" s="180">
        <v>0</v>
      </c>
      <c r="J17" s="180">
        <v>0</v>
      </c>
      <c r="K17" s="180"/>
      <c r="L17" s="181">
        <v>0</v>
      </c>
      <c r="M17" s="181">
        <v>0</v>
      </c>
      <c r="N17" s="182"/>
      <c r="O17" s="180">
        <v>221.06330543933058</v>
      </c>
      <c r="P17" s="181">
        <v>0.10805804138706508</v>
      </c>
      <c r="Q17" s="181">
        <v>0.80388277007343334</v>
      </c>
      <c r="R17" s="61"/>
    </row>
    <row r="18" ht="15" customHeight="1">
      <c r="B18" s="12"/>
      <c r="C18" s="176"/>
      <c r="D18" s="177" t="s">
        <v>296</v>
      </c>
      <c r="E18" s="178">
        <v>0</v>
      </c>
      <c r="F18" s="179">
        <v>0</v>
      </c>
      <c r="G18" s="180">
        <v>0</v>
      </c>
      <c r="H18" s="180">
        <v>0</v>
      </c>
      <c r="I18" s="180">
        <v>0</v>
      </c>
      <c r="J18" s="180">
        <v>0</v>
      </c>
      <c r="K18" s="180"/>
      <c r="L18" s="181">
        <v>0</v>
      </c>
      <c r="M18" s="181">
        <v>0</v>
      </c>
      <c r="N18" s="182"/>
      <c r="O18" s="180">
        <v>66.046981981981972</v>
      </c>
      <c r="P18" s="181">
        <v>0.014994033854394349</v>
      </c>
      <c r="Q18" s="181">
        <v>0.56694321641854373</v>
      </c>
      <c r="R18" s="61"/>
    </row>
    <row r="19" ht="15" customHeight="1">
      <c r="B19" s="12"/>
      <c r="C19" s="176"/>
      <c r="D19" s="177" t="s">
        <v>297</v>
      </c>
      <c r="E19" s="178">
        <v>118</v>
      </c>
      <c r="F19" s="179">
        <v>1.6164383561643836</v>
      </c>
      <c r="G19" s="180">
        <v>12041.3</v>
      </c>
      <c r="H19" s="180">
        <v>3050.44</v>
      </c>
      <c r="I19" s="180">
        <v>0</v>
      </c>
      <c r="J19" s="180">
        <v>7076.92</v>
      </c>
      <c r="K19" s="180">
        <v>59.973898305084745</v>
      </c>
      <c r="L19" s="181">
        <v>0.73664816611359307</v>
      </c>
      <c r="M19" s="181">
        <v>0.84105204587544546</v>
      </c>
      <c r="N19" s="182"/>
      <c r="O19" s="180">
        <v>81.574715621645922</v>
      </c>
      <c r="P19" s="181">
        <v>0.54414605171891917</v>
      </c>
      <c r="Q19" s="181">
        <v>0.818452795385523</v>
      </c>
      <c r="R19" s="61"/>
    </row>
    <row r="20" ht="15" customHeight="1">
      <c r="B20" s="12"/>
      <c r="C20" s="176"/>
      <c r="D20" s="177" t="s">
        <v>298</v>
      </c>
      <c r="E20" s="178">
        <v>0</v>
      </c>
      <c r="F20" s="179">
        <v>0</v>
      </c>
      <c r="G20" s="180">
        <v>0</v>
      </c>
      <c r="H20" s="180">
        <v>0</v>
      </c>
      <c r="I20" s="180">
        <v>0</v>
      </c>
      <c r="J20" s="180">
        <v>0</v>
      </c>
      <c r="K20" s="180"/>
      <c r="L20" s="181">
        <v>0</v>
      </c>
      <c r="M20" s="181">
        <v>0</v>
      </c>
      <c r="N20" s="182"/>
      <c r="O20" s="180">
        <v>258.36938294010889</v>
      </c>
      <c r="P20" s="181">
        <v>0.14558116222095363</v>
      </c>
      <c r="Q20" s="181">
        <v>0.66710305762277067</v>
      </c>
      <c r="R20" s="61"/>
    </row>
    <row r="21" ht="15" customHeight="1">
      <c r="B21" s="12"/>
      <c r="C21" s="176"/>
      <c r="D21" s="177" t="s">
        <v>299</v>
      </c>
      <c r="E21" s="178">
        <v>11</v>
      </c>
      <c r="F21" s="179">
        <v>0.15068493150684931</v>
      </c>
      <c r="G21" s="180">
        <v>3850</v>
      </c>
      <c r="H21" s="180">
        <v>770</v>
      </c>
      <c r="I21" s="180">
        <v>0</v>
      </c>
      <c r="J21" s="180">
        <v>2530</v>
      </c>
      <c r="K21" s="180">
        <v>230</v>
      </c>
      <c r="L21" s="181">
        <v>0.26335183388640687</v>
      </c>
      <c r="M21" s="181">
        <v>0.8571428571428571</v>
      </c>
      <c r="N21" s="182"/>
      <c r="O21" s="180">
        <v>214.0994006309148</v>
      </c>
      <c r="P21" s="181">
        <v>0.13880887828568059</v>
      </c>
      <c r="Q21" s="181">
        <v>0.67787574438152409</v>
      </c>
      <c r="R21" s="61"/>
    </row>
    <row r="22" ht="15" customHeight="1">
      <c r="B22" s="12"/>
      <c r="C22" s="176"/>
      <c r="D22" s="177" t="s">
        <v>96</v>
      </c>
      <c r="E22" s="178">
        <v>0</v>
      </c>
      <c r="F22" s="179">
        <v>0</v>
      </c>
      <c r="G22" s="180">
        <v>0</v>
      </c>
      <c r="H22" s="180">
        <v>0</v>
      </c>
      <c r="I22" s="180">
        <v>0</v>
      </c>
      <c r="J22" s="180">
        <v>0</v>
      </c>
      <c r="K22" s="180"/>
      <c r="L22" s="181">
        <v>0</v>
      </c>
      <c r="M22" s="181">
        <v>0</v>
      </c>
      <c r="N22" s="182"/>
      <c r="O22" s="180">
        <v>18.8714312039312</v>
      </c>
      <c r="P22" s="181">
        <v>0.031417510873577074</v>
      </c>
      <c r="Q22" s="181">
        <v>0.870470414963608</v>
      </c>
      <c r="R22" s="61"/>
    </row>
    <row r="23" ht="15" customHeight="1">
      <c r="B23" s="12"/>
      <c r="C23" s="139" t="s">
        <v>8</v>
      </c>
      <c r="D23" s="140"/>
      <c r="E23" s="128">
        <v>129</v>
      </c>
      <c r="F23" s="129">
        <v>1.7671232876712328</v>
      </c>
      <c r="G23" s="130">
        <v>15891.3</v>
      </c>
      <c r="H23" s="130">
        <v>3820.44</v>
      </c>
      <c r="I23" s="130">
        <v>0</v>
      </c>
      <c r="J23" s="130">
        <v>9606.92</v>
      </c>
      <c r="K23" s="130">
        <v>74.47224806201551</v>
      </c>
      <c r="L23" s="131">
        <v>1</v>
      </c>
      <c r="M23" s="131">
        <v>0.84495038165537129</v>
      </c>
      <c r="N23" s="138"/>
      <c r="O23" s="130">
        <v>79.4575672381569</v>
      </c>
      <c r="P23" s="131">
        <v>1</v>
      </c>
      <c r="Q23" s="131">
        <v>0.77483369660121415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0" t="s">
        <v>275</v>
      </c>
      <c r="D26" s="140"/>
      <c r="E26" s="4"/>
      <c r="F26" s="4"/>
      <c r="G26" s="4"/>
      <c r="H26" s="159">
        <v>0.2845</v>
      </c>
      <c r="I26" s="159">
        <v>0</v>
      </c>
      <c r="J26" s="159">
        <v>0.7155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0" t="s">
        <v>276</v>
      </c>
      <c r="D28" s="140"/>
      <c r="E28" s="4"/>
      <c r="F28" s="4"/>
      <c r="G28" s="130">
        <v>217.69</v>
      </c>
      <c r="H28" s="130">
        <v>52.33</v>
      </c>
      <c r="I28" s="130">
        <v>0</v>
      </c>
      <c r="J28" s="130">
        <v>131.6</v>
      </c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0" t="s">
        <v>277</v>
      </c>
      <c r="D29" s="140"/>
      <c r="E29" s="4"/>
      <c r="F29" s="4"/>
      <c r="G29" s="130">
        <v>481.55</v>
      </c>
      <c r="H29" s="130">
        <v>115.77</v>
      </c>
      <c r="I29" s="130">
        <v>0</v>
      </c>
      <c r="J29" s="130">
        <v>291.12</v>
      </c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2"/>
      <c r="Q32" s="142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47"/>
  <sheetViews>
    <sheetView showGridLines="0" zoomScale="70" zoomScaleNormal="70" workbookViewId="0">
      <selection activeCell="A19" sqref="A19:XFD19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98</v>
      </c>
      <c r="D15" s="137"/>
      <c r="E15" s="65">
        <v>33</v>
      </c>
      <c r="F15" s="74">
        <v>0.45205479452054792</v>
      </c>
      <c r="G15" s="66">
        <v>6932.71</v>
      </c>
      <c r="H15" s="66">
        <v>2466.05</v>
      </c>
      <c r="I15" s="66">
        <v>0</v>
      </c>
      <c r="J15" s="66">
        <v>2492.61</v>
      </c>
      <c r="K15" s="66">
        <v>75.533636363636361</v>
      </c>
      <c r="L15" s="67">
        <v>1</v>
      </c>
      <c r="M15" s="67">
        <v>0.71525565038779926</v>
      </c>
      <c r="N15" s="138"/>
      <c r="O15" s="66">
        <v>58.382425157923635</v>
      </c>
      <c r="P15" s="67">
        <v>1</v>
      </c>
      <c r="Q15" s="67">
        <v>0.91552398849854166</v>
      </c>
      <c r="R15" s="61"/>
    </row>
    <row r="16" ht="15" customHeight="1">
      <c r="B16" s="12"/>
      <c r="C16" s="176"/>
      <c r="D16" s="177" t="s">
        <v>100</v>
      </c>
      <c r="E16" s="178">
        <v>0</v>
      </c>
      <c r="F16" s="179">
        <v>0</v>
      </c>
      <c r="G16" s="180">
        <v>0</v>
      </c>
      <c r="H16" s="180">
        <v>0</v>
      </c>
      <c r="I16" s="180">
        <v>0</v>
      </c>
      <c r="J16" s="180">
        <v>0</v>
      </c>
      <c r="K16" s="180"/>
      <c r="L16" s="181">
        <v>0</v>
      </c>
      <c r="M16" s="181">
        <v>0</v>
      </c>
      <c r="N16" s="182"/>
      <c r="O16" s="180">
        <v>131.8705915492958</v>
      </c>
      <c r="P16" s="181">
        <v>0.11011424402860214</v>
      </c>
      <c r="Q16" s="181">
        <v>0.82891753730584361</v>
      </c>
      <c r="R16" s="61"/>
    </row>
    <row r="17" ht="15" customHeight="1">
      <c r="B17" s="12"/>
      <c r="C17" s="176"/>
      <c r="D17" s="177" t="s">
        <v>300</v>
      </c>
      <c r="E17" s="178">
        <v>0</v>
      </c>
      <c r="F17" s="179">
        <v>0</v>
      </c>
      <c r="G17" s="180">
        <v>0</v>
      </c>
      <c r="H17" s="180">
        <v>0</v>
      </c>
      <c r="I17" s="180">
        <v>0</v>
      </c>
      <c r="J17" s="180">
        <v>0</v>
      </c>
      <c r="K17" s="180"/>
      <c r="L17" s="181">
        <v>0</v>
      </c>
      <c r="M17" s="181">
        <v>0</v>
      </c>
      <c r="N17" s="182"/>
      <c r="O17" s="180">
        <v>68.724976958525346</v>
      </c>
      <c r="P17" s="181">
        <v>0.10523562522177948</v>
      </c>
      <c r="Q17" s="181">
        <v>0.936365664596786</v>
      </c>
      <c r="R17" s="61"/>
    </row>
    <row r="18" ht="15" customHeight="1">
      <c r="B18" s="12"/>
      <c r="C18" s="176"/>
      <c r="D18" s="177" t="s">
        <v>301</v>
      </c>
      <c r="E18" s="178">
        <v>0</v>
      </c>
      <c r="F18" s="179">
        <v>0</v>
      </c>
      <c r="G18" s="180">
        <v>0</v>
      </c>
      <c r="H18" s="180">
        <v>0</v>
      </c>
      <c r="I18" s="180">
        <v>0</v>
      </c>
      <c r="J18" s="180">
        <v>0</v>
      </c>
      <c r="K18" s="180"/>
      <c r="L18" s="181">
        <v>0</v>
      </c>
      <c r="M18" s="181">
        <v>0</v>
      </c>
      <c r="N18" s="182"/>
      <c r="O18" s="180">
        <v>6.5</v>
      </c>
      <c r="P18" s="181">
        <v>3.0578103509326637E-05</v>
      </c>
      <c r="Q18" s="181">
        <v>1</v>
      </c>
      <c r="R18" s="61"/>
    </row>
    <row r="19" ht="15" customHeight="1">
      <c r="B19" s="12"/>
      <c r="C19" s="176"/>
      <c r="D19" s="177" t="s">
        <v>302</v>
      </c>
      <c r="E19" s="178">
        <v>0</v>
      </c>
      <c r="F19" s="179">
        <v>0</v>
      </c>
      <c r="G19" s="180">
        <v>0</v>
      </c>
      <c r="H19" s="180">
        <v>0</v>
      </c>
      <c r="I19" s="180">
        <v>0</v>
      </c>
      <c r="J19" s="180">
        <v>0</v>
      </c>
      <c r="K19" s="180"/>
      <c r="L19" s="181">
        <v>0</v>
      </c>
      <c r="M19" s="181">
        <v>0</v>
      </c>
      <c r="N19" s="182"/>
      <c r="O19" s="180">
        <v>11.79</v>
      </c>
      <c r="P19" s="181">
        <v>2.7731987721150847E-05</v>
      </c>
      <c r="Q19" s="181">
        <v>1</v>
      </c>
      <c r="R19" s="61"/>
    </row>
    <row r="20" ht="15" customHeight="1">
      <c r="B20" s="12"/>
      <c r="C20" s="176"/>
      <c r="D20" s="177" t="s">
        <v>101</v>
      </c>
      <c r="E20" s="178">
        <v>2</v>
      </c>
      <c r="F20" s="179">
        <v>0.0273972602739726</v>
      </c>
      <c r="G20" s="180">
        <v>60</v>
      </c>
      <c r="H20" s="180">
        <v>0</v>
      </c>
      <c r="I20" s="180">
        <v>0</v>
      </c>
      <c r="J20" s="180">
        <v>60</v>
      </c>
      <c r="K20" s="180">
        <v>30</v>
      </c>
      <c r="L20" s="181">
        <v>0.024071154332206</v>
      </c>
      <c r="M20" s="181">
        <v>1</v>
      </c>
      <c r="N20" s="182"/>
      <c r="O20" s="180">
        <v>55.364401544401595</v>
      </c>
      <c r="P20" s="181">
        <v>0.16864270996137254</v>
      </c>
      <c r="Q20" s="181">
        <v>0.99780247443819958</v>
      </c>
      <c r="R20" s="61"/>
    </row>
    <row r="21" ht="15" customHeight="1">
      <c r="B21" s="12"/>
      <c r="C21" s="176"/>
      <c r="D21" s="177" t="s">
        <v>303</v>
      </c>
      <c r="E21" s="178">
        <v>3</v>
      </c>
      <c r="F21" s="179">
        <v>0.0410958904109589</v>
      </c>
      <c r="G21" s="180">
        <v>72</v>
      </c>
      <c r="H21" s="180">
        <v>0</v>
      </c>
      <c r="I21" s="180">
        <v>0</v>
      </c>
      <c r="J21" s="180">
        <v>72</v>
      </c>
      <c r="K21" s="180">
        <v>24</v>
      </c>
      <c r="L21" s="181">
        <v>0.0288853851986472</v>
      </c>
      <c r="M21" s="181">
        <v>1</v>
      </c>
      <c r="N21" s="182"/>
      <c r="O21" s="180">
        <v>23.772511848341232</v>
      </c>
      <c r="P21" s="181">
        <v>0.011798443630983261</v>
      </c>
      <c r="Q21" s="181">
        <v>1</v>
      </c>
      <c r="R21" s="61"/>
    </row>
    <row r="22" ht="15" customHeight="1">
      <c r="B22" s="12"/>
      <c r="C22" s="176"/>
      <c r="D22" s="177" t="s">
        <v>304</v>
      </c>
      <c r="E22" s="178">
        <v>1</v>
      </c>
      <c r="F22" s="179">
        <v>0.0136986301369863</v>
      </c>
      <c r="G22" s="180">
        <v>85.84</v>
      </c>
      <c r="H22" s="180">
        <v>55.8</v>
      </c>
      <c r="I22" s="180">
        <v>0</v>
      </c>
      <c r="J22" s="180">
        <v>30.04</v>
      </c>
      <c r="K22" s="180">
        <v>30.04</v>
      </c>
      <c r="L22" s="181">
        <v>0.01205162460232447</v>
      </c>
      <c r="M22" s="181">
        <v>1</v>
      </c>
      <c r="N22" s="182"/>
      <c r="O22" s="180">
        <v>35.723216560509549</v>
      </c>
      <c r="P22" s="181">
        <v>0.02638441069949482</v>
      </c>
      <c r="Q22" s="181">
        <v>0.99943133020107111</v>
      </c>
      <c r="R22" s="61"/>
    </row>
    <row r="23" ht="15" customHeight="1">
      <c r="B23" s="12"/>
      <c r="C23" s="176"/>
      <c r="D23" s="177" t="s">
        <v>305</v>
      </c>
      <c r="E23" s="178">
        <v>0</v>
      </c>
      <c r="F23" s="179">
        <v>0</v>
      </c>
      <c r="G23" s="180">
        <v>0</v>
      </c>
      <c r="H23" s="180">
        <v>0</v>
      </c>
      <c r="I23" s="180">
        <v>0</v>
      </c>
      <c r="J23" s="180">
        <v>0</v>
      </c>
      <c r="K23" s="180"/>
      <c r="L23" s="181">
        <v>0</v>
      </c>
      <c r="M23" s="181">
        <v>0</v>
      </c>
      <c r="N23" s="182"/>
      <c r="O23" s="180">
        <v>1.93</v>
      </c>
      <c r="P23" s="181">
        <v>4.5396722902308E-06</v>
      </c>
      <c r="Q23" s="181">
        <v>1</v>
      </c>
      <c r="R23" s="61"/>
    </row>
    <row r="24" ht="15" customHeight="1">
      <c r="B24" s="12"/>
      <c r="C24" s="176"/>
      <c r="D24" s="177" t="s">
        <v>306</v>
      </c>
      <c r="E24" s="178">
        <v>0</v>
      </c>
      <c r="F24" s="179">
        <v>0</v>
      </c>
      <c r="G24" s="180">
        <v>0</v>
      </c>
      <c r="H24" s="180">
        <v>0</v>
      </c>
      <c r="I24" s="180">
        <v>0</v>
      </c>
      <c r="J24" s="180">
        <v>0</v>
      </c>
      <c r="K24" s="180"/>
      <c r="L24" s="181">
        <v>0</v>
      </c>
      <c r="M24" s="181">
        <v>0</v>
      </c>
      <c r="N24" s="182"/>
      <c r="O24" s="180">
        <v>315.77582822085895</v>
      </c>
      <c r="P24" s="181">
        <v>0.12106920243508967</v>
      </c>
      <c r="Q24" s="181">
        <v>0.99976601412983768</v>
      </c>
      <c r="R24" s="61"/>
    </row>
    <row r="25" ht="15" customHeight="1">
      <c r="B25" s="12"/>
      <c r="C25" s="176"/>
      <c r="D25" s="177" t="s">
        <v>103</v>
      </c>
      <c r="E25" s="178">
        <v>23</v>
      </c>
      <c r="F25" s="179">
        <v>0.31506849315068491</v>
      </c>
      <c r="G25" s="180">
        <v>6636.43</v>
      </c>
      <c r="H25" s="180">
        <v>2410.25</v>
      </c>
      <c r="I25" s="180">
        <v>0</v>
      </c>
      <c r="J25" s="180">
        <v>2252.13</v>
      </c>
      <c r="K25" s="180">
        <v>97.918695652173923</v>
      </c>
      <c r="L25" s="181">
        <v>0.9035228134365183</v>
      </c>
      <c r="M25" s="181">
        <v>0.7025433855250488</v>
      </c>
      <c r="N25" s="182"/>
      <c r="O25" s="180">
        <v>42.879474671669705</v>
      </c>
      <c r="P25" s="181">
        <v>0.37630665528659352</v>
      </c>
      <c r="Q25" s="181">
        <v>0.82351778978848589</v>
      </c>
      <c r="R25" s="61"/>
    </row>
    <row r="26" ht="15" customHeight="1">
      <c r="B26" s="12"/>
      <c r="C26" s="176"/>
      <c r="D26" s="177" t="s">
        <v>307</v>
      </c>
      <c r="E26" s="178">
        <v>0</v>
      </c>
      <c r="F26" s="179">
        <v>0</v>
      </c>
      <c r="G26" s="180">
        <v>0</v>
      </c>
      <c r="H26" s="180">
        <v>0</v>
      </c>
      <c r="I26" s="180">
        <v>0</v>
      </c>
      <c r="J26" s="180">
        <v>0</v>
      </c>
      <c r="K26" s="180"/>
      <c r="L26" s="181">
        <v>0</v>
      </c>
      <c r="M26" s="181">
        <v>0</v>
      </c>
      <c r="N26" s="182"/>
      <c r="O26" s="180">
        <v>131.5102105263158</v>
      </c>
      <c r="P26" s="181">
        <v>0.029386662988512852</v>
      </c>
      <c r="Q26" s="181">
        <v>0.78946947628619291</v>
      </c>
      <c r="R26" s="61"/>
    </row>
    <row r="27" ht="15" customHeight="1">
      <c r="B27" s="12"/>
      <c r="C27" s="176"/>
      <c r="D27" s="177" t="s">
        <v>104</v>
      </c>
      <c r="E27" s="178">
        <v>4</v>
      </c>
      <c r="F27" s="179">
        <v>0.0547945205479452</v>
      </c>
      <c r="G27" s="180">
        <v>78.44</v>
      </c>
      <c r="H27" s="180">
        <v>0</v>
      </c>
      <c r="I27" s="180">
        <v>0</v>
      </c>
      <c r="J27" s="180">
        <v>78.44</v>
      </c>
      <c r="K27" s="180">
        <v>19.61</v>
      </c>
      <c r="L27" s="181">
        <v>0.031469022430303979</v>
      </c>
      <c r="M27" s="181">
        <v>1</v>
      </c>
      <c r="N27" s="182"/>
      <c r="O27" s="180">
        <v>18.6902033898305</v>
      </c>
      <c r="P27" s="181">
        <v>0.012968902868466027</v>
      </c>
      <c r="Q27" s="181">
        <v>1</v>
      </c>
      <c r="R27" s="61"/>
    </row>
    <row r="28" ht="15" customHeight="1">
      <c r="B28" s="12"/>
      <c r="C28" s="176"/>
      <c r="D28" s="177" t="s">
        <v>308</v>
      </c>
      <c r="E28" s="178">
        <v>0</v>
      </c>
      <c r="F28" s="179">
        <v>0</v>
      </c>
      <c r="G28" s="180">
        <v>0</v>
      </c>
      <c r="H28" s="180">
        <v>0</v>
      </c>
      <c r="I28" s="180">
        <v>0</v>
      </c>
      <c r="J28" s="180">
        <v>0</v>
      </c>
      <c r="K28" s="180"/>
      <c r="L28" s="181">
        <v>0</v>
      </c>
      <c r="M28" s="181">
        <v>0</v>
      </c>
      <c r="N28" s="182"/>
      <c r="O28" s="180">
        <v>472.19</v>
      </c>
      <c r="P28" s="181">
        <v>0.0011106672843129958</v>
      </c>
      <c r="Q28" s="181">
        <v>0.60737301107495212</v>
      </c>
      <c r="R28" s="61"/>
    </row>
    <row r="29" ht="15" customHeight="1">
      <c r="B29" s="12"/>
      <c r="C29" s="176"/>
      <c r="D29" s="177" t="s">
        <v>309</v>
      </c>
      <c r="E29" s="178">
        <v>0</v>
      </c>
      <c r="F29" s="179">
        <v>0</v>
      </c>
      <c r="G29" s="180">
        <v>0</v>
      </c>
      <c r="H29" s="180">
        <v>0</v>
      </c>
      <c r="I29" s="180">
        <v>0</v>
      </c>
      <c r="J29" s="180">
        <v>0</v>
      </c>
      <c r="K29" s="180"/>
      <c r="L29" s="181">
        <v>0</v>
      </c>
      <c r="M29" s="181">
        <v>0</v>
      </c>
      <c r="N29" s="182"/>
      <c r="O29" s="180">
        <v>317.64765957446809</v>
      </c>
      <c r="P29" s="181">
        <v>0.035116458588944729</v>
      </c>
      <c r="Q29" s="181">
        <v>1</v>
      </c>
      <c r="R29" s="61"/>
    </row>
    <row r="30" ht="15" customHeight="1">
      <c r="B30" s="12"/>
      <c r="C30" s="176"/>
      <c r="D30" s="177" t="s">
        <v>310</v>
      </c>
      <c r="E30" s="178">
        <v>0</v>
      </c>
      <c r="F30" s="179">
        <v>0</v>
      </c>
      <c r="G30" s="180">
        <v>0</v>
      </c>
      <c r="H30" s="180">
        <v>0</v>
      </c>
      <c r="I30" s="180">
        <v>0</v>
      </c>
      <c r="J30" s="180">
        <v>0</v>
      </c>
      <c r="K30" s="180"/>
      <c r="L30" s="181">
        <v>0</v>
      </c>
      <c r="M30" s="181">
        <v>0</v>
      </c>
      <c r="N30" s="182"/>
      <c r="O30" s="180">
        <v>52.5</v>
      </c>
      <c r="P30" s="181">
        <v>0.00012348849494151141</v>
      </c>
      <c r="Q30" s="181">
        <v>1</v>
      </c>
      <c r="R30" s="61"/>
    </row>
    <row r="31" ht="15" customHeight="1">
      <c r="B31" s="12"/>
      <c r="C31" s="176"/>
      <c r="D31" s="177" t="s">
        <v>311</v>
      </c>
      <c r="E31" s="178">
        <v>0</v>
      </c>
      <c r="F31" s="179">
        <v>0</v>
      </c>
      <c r="G31" s="180">
        <v>0</v>
      </c>
      <c r="H31" s="180">
        <v>0</v>
      </c>
      <c r="I31" s="180">
        <v>0</v>
      </c>
      <c r="J31" s="180">
        <v>0</v>
      </c>
      <c r="K31" s="180"/>
      <c r="L31" s="181">
        <v>0</v>
      </c>
      <c r="M31" s="181">
        <v>0</v>
      </c>
      <c r="N31" s="182"/>
      <c r="O31" s="180">
        <v>52.5</v>
      </c>
      <c r="P31" s="181">
        <v>0.00012348849494151141</v>
      </c>
      <c r="Q31" s="181">
        <v>1</v>
      </c>
      <c r="R31" s="61"/>
    </row>
    <row r="32" ht="15" customHeight="1">
      <c r="B32" s="12"/>
      <c r="C32" s="176"/>
      <c r="D32" s="177" t="s">
        <v>312</v>
      </c>
      <c r="E32" s="178">
        <v>0</v>
      </c>
      <c r="F32" s="179">
        <v>0</v>
      </c>
      <c r="G32" s="180">
        <v>0</v>
      </c>
      <c r="H32" s="180">
        <v>0</v>
      </c>
      <c r="I32" s="180">
        <v>0</v>
      </c>
      <c r="J32" s="180">
        <v>0</v>
      </c>
      <c r="K32" s="180"/>
      <c r="L32" s="181">
        <v>0</v>
      </c>
      <c r="M32" s="181">
        <v>0</v>
      </c>
      <c r="N32" s="182"/>
      <c r="O32" s="180">
        <v>30</v>
      </c>
      <c r="P32" s="181">
        <v>7.0564854252292233E-05</v>
      </c>
      <c r="Q32" s="181">
        <v>1</v>
      </c>
      <c r="R32" s="61"/>
    </row>
    <row r="33" ht="15" customHeight="1">
      <c r="B33" s="12"/>
      <c r="C33" s="176"/>
      <c r="D33" s="177" t="s">
        <v>313</v>
      </c>
      <c r="E33" s="178">
        <v>0</v>
      </c>
      <c r="F33" s="179">
        <v>0</v>
      </c>
      <c r="G33" s="180">
        <v>0</v>
      </c>
      <c r="H33" s="180">
        <v>0</v>
      </c>
      <c r="I33" s="180">
        <v>0</v>
      </c>
      <c r="J33" s="180">
        <v>0</v>
      </c>
      <c r="K33" s="180"/>
      <c r="L33" s="181">
        <v>0</v>
      </c>
      <c r="M33" s="181">
        <v>0</v>
      </c>
      <c r="N33" s="182"/>
      <c r="O33" s="180">
        <v>6.8999999999999995</v>
      </c>
      <c r="P33" s="181">
        <v>4.8689749434081641E-05</v>
      </c>
      <c r="Q33" s="181">
        <v>1</v>
      </c>
      <c r="R33" s="61"/>
    </row>
    <row r="34" ht="15" customHeight="1">
      <c r="B34" s="12"/>
      <c r="C34" s="176"/>
      <c r="D34" s="177" t="s">
        <v>314</v>
      </c>
      <c r="E34" s="178">
        <v>0</v>
      </c>
      <c r="F34" s="179">
        <v>0</v>
      </c>
      <c r="G34" s="180">
        <v>0</v>
      </c>
      <c r="H34" s="180">
        <v>0</v>
      </c>
      <c r="I34" s="180">
        <v>0</v>
      </c>
      <c r="J34" s="180">
        <v>0</v>
      </c>
      <c r="K34" s="180"/>
      <c r="L34" s="181">
        <v>0</v>
      </c>
      <c r="M34" s="181">
        <v>0</v>
      </c>
      <c r="N34" s="182"/>
      <c r="O34" s="180">
        <v>0.6</v>
      </c>
      <c r="P34" s="181">
        <v>4.233891255137534E-06</v>
      </c>
      <c r="Q34" s="181">
        <v>1</v>
      </c>
      <c r="R34" s="61"/>
    </row>
    <row r="35" ht="15" customHeight="1">
      <c r="B35" s="12"/>
      <c r="C35" s="176"/>
      <c r="D35" s="177" t="s">
        <v>315</v>
      </c>
      <c r="E35" s="178">
        <v>0</v>
      </c>
      <c r="F35" s="179">
        <v>0</v>
      </c>
      <c r="G35" s="180">
        <v>0</v>
      </c>
      <c r="H35" s="180">
        <v>0</v>
      </c>
      <c r="I35" s="180">
        <v>0</v>
      </c>
      <c r="J35" s="180">
        <v>0</v>
      </c>
      <c r="K35" s="180"/>
      <c r="L35" s="181">
        <v>0</v>
      </c>
      <c r="M35" s="181">
        <v>0</v>
      </c>
      <c r="N35" s="182"/>
      <c r="O35" s="180">
        <v>1.4516129032258065</v>
      </c>
      <c r="P35" s="181">
        <v>0.00031754184413531505</v>
      </c>
      <c r="Q35" s="181">
        <v>1</v>
      </c>
      <c r="R35" s="61"/>
    </row>
    <row r="36" ht="15" customHeight="1">
      <c r="B36" s="12"/>
      <c r="C36" s="176"/>
      <c r="D36" s="177" t="s">
        <v>316</v>
      </c>
      <c r="E36" s="178">
        <v>0</v>
      </c>
      <c r="F36" s="179">
        <v>0</v>
      </c>
      <c r="G36" s="180">
        <v>0</v>
      </c>
      <c r="H36" s="180">
        <v>0</v>
      </c>
      <c r="I36" s="180">
        <v>0</v>
      </c>
      <c r="J36" s="180">
        <v>0</v>
      </c>
      <c r="K36" s="180"/>
      <c r="L36" s="181">
        <v>0</v>
      </c>
      <c r="M36" s="181">
        <v>0</v>
      </c>
      <c r="N36" s="182"/>
      <c r="O36" s="180">
        <v>24</v>
      </c>
      <c r="P36" s="181">
        <v>0.00045161506721467029</v>
      </c>
      <c r="Q36" s="181">
        <v>1</v>
      </c>
      <c r="R36" s="61"/>
    </row>
    <row r="37" ht="15" customHeight="1">
      <c r="B37" s="12"/>
      <c r="C37" s="176"/>
      <c r="D37" s="177" t="s">
        <v>317</v>
      </c>
      <c r="E37" s="178">
        <v>0</v>
      </c>
      <c r="F37" s="179">
        <v>0</v>
      </c>
      <c r="G37" s="180">
        <v>0</v>
      </c>
      <c r="H37" s="180">
        <v>0</v>
      </c>
      <c r="I37" s="180">
        <v>0</v>
      </c>
      <c r="J37" s="180">
        <v>0</v>
      </c>
      <c r="K37" s="180"/>
      <c r="L37" s="181">
        <v>0</v>
      </c>
      <c r="M37" s="181">
        <v>0</v>
      </c>
      <c r="N37" s="182"/>
      <c r="O37" s="180">
        <v>28.21</v>
      </c>
      <c r="P37" s="181">
        <v>0.000663544846152388</v>
      </c>
      <c r="Q37" s="181">
        <v>1</v>
      </c>
      <c r="R37" s="61"/>
    </row>
    <row r="38" ht="15" customHeight="1">
      <c r="B38" s="12"/>
      <c r="C38" s="139" t="s">
        <v>8</v>
      </c>
      <c r="D38" s="140"/>
      <c r="E38" s="128">
        <v>33</v>
      </c>
      <c r="F38" s="129">
        <v>0.45205479452054792</v>
      </c>
      <c r="G38" s="130">
        <v>6932.71</v>
      </c>
      <c r="H38" s="130">
        <v>2466.05</v>
      </c>
      <c r="I38" s="130">
        <v>0</v>
      </c>
      <c r="J38" s="130">
        <v>2492.61</v>
      </c>
      <c r="K38" s="130">
        <v>75.533636363636361</v>
      </c>
      <c r="L38" s="131">
        <v>1</v>
      </c>
      <c r="M38" s="131">
        <v>0.71525565038779926</v>
      </c>
      <c r="N38" s="138"/>
      <c r="O38" s="130">
        <v>58.382425157923635</v>
      </c>
      <c r="P38" s="131">
        <v>1</v>
      </c>
      <c r="Q38" s="131">
        <v>0.91552398849854166</v>
      </c>
      <c r="R38" s="61"/>
    </row>
    <row r="39" ht="15" customHeight="1">
      <c r="B39" s="12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23"/>
      <c r="Q39" s="23"/>
      <c r="R39" s="61"/>
    </row>
    <row r="40" ht="15" customHeight="1">
      <c r="B40" s="12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23"/>
      <c r="Q40" s="23"/>
      <c r="R40" s="61"/>
    </row>
    <row r="41" ht="15" customHeight="1">
      <c r="B41" s="12"/>
      <c r="C41" s="140" t="s">
        <v>275</v>
      </c>
      <c r="D41" s="140"/>
      <c r="E41" s="4"/>
      <c r="F41" s="4"/>
      <c r="G41" s="4"/>
      <c r="H41" s="159">
        <v>0.4973</v>
      </c>
      <c r="I41" s="159">
        <v>0</v>
      </c>
      <c r="J41" s="159">
        <v>0.50269999999999992</v>
      </c>
      <c r="K41" s="4"/>
      <c r="L41" s="4"/>
      <c r="M41" s="4"/>
      <c r="N41" s="4"/>
      <c r="O41" s="4"/>
      <c r="P41" s="23"/>
      <c r="Q41" s="23"/>
      <c r="R41" s="61"/>
    </row>
    <row r="42" ht="15" customHeight="1">
      <c r="B42" s="12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23"/>
      <c r="Q42" s="23"/>
      <c r="R42" s="61"/>
    </row>
    <row r="43" ht="15" customHeight="1">
      <c r="B43" s="12"/>
      <c r="C43" s="140" t="s">
        <v>276</v>
      </c>
      <c r="D43" s="140"/>
      <c r="E43" s="4"/>
      <c r="F43" s="4"/>
      <c r="G43" s="130">
        <v>94.97</v>
      </c>
      <c r="H43" s="130">
        <v>33.78</v>
      </c>
      <c r="I43" s="130">
        <v>0</v>
      </c>
      <c r="J43" s="130">
        <v>34.15</v>
      </c>
      <c r="K43" s="4"/>
      <c r="L43" s="4"/>
      <c r="M43" s="4"/>
      <c r="N43" s="4"/>
      <c r="O43" s="4"/>
      <c r="P43" s="23"/>
      <c r="Q43" s="23"/>
      <c r="R43" s="61"/>
    </row>
    <row r="44" ht="15" customHeight="1">
      <c r="B44" s="12"/>
      <c r="C44" s="140" t="s">
        <v>277</v>
      </c>
      <c r="D44" s="140"/>
      <c r="E44" s="4"/>
      <c r="F44" s="4"/>
      <c r="G44" s="130">
        <v>210.08</v>
      </c>
      <c r="H44" s="130">
        <v>74.73</v>
      </c>
      <c r="I44" s="130">
        <v>0</v>
      </c>
      <c r="J44" s="130">
        <v>75.53</v>
      </c>
      <c r="K44" s="4"/>
      <c r="L44" s="4"/>
      <c r="M44" s="4"/>
      <c r="N44" s="4"/>
      <c r="O44" s="4"/>
      <c r="P44" s="23"/>
      <c r="Q44" s="23"/>
      <c r="R44" s="61"/>
    </row>
    <row r="45" ht="15" customHeight="1">
      <c r="B45" s="12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23"/>
      <c r="Q45" s="23"/>
      <c r="R45" s="61"/>
    </row>
    <row r="46" ht="15" customHeight="1">
      <c r="B46" s="12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23"/>
      <c r="Q46" s="23"/>
      <c r="R46" s="61"/>
    </row>
    <row r="47" ht="12" customHeight="1">
      <c r="B47" s="13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2"/>
      <c r="Q47" s="142"/>
      <c r="R47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318</v>
      </c>
      <c r="D15" s="137"/>
      <c r="E15" s="65">
        <v>0</v>
      </c>
      <c r="F15" s="74">
        <v>0</v>
      </c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38"/>
      <c r="O15" s="66">
        <v>1986.4</v>
      </c>
      <c r="P15" s="67">
        <v>1</v>
      </c>
      <c r="Q15" s="67">
        <v>0.37035752627125818</v>
      </c>
      <c r="R15" s="61"/>
    </row>
    <row r="16" ht="15" customHeight="1">
      <c r="B16" s="12"/>
      <c r="C16" s="176"/>
      <c r="D16" s="177" t="s">
        <v>319</v>
      </c>
      <c r="E16" s="178">
        <v>0</v>
      </c>
      <c r="F16" s="179">
        <v>0</v>
      </c>
      <c r="G16" s="180">
        <v>0</v>
      </c>
      <c r="H16" s="180">
        <v>0</v>
      </c>
      <c r="I16" s="180">
        <v>0</v>
      </c>
      <c r="J16" s="180">
        <v>0</v>
      </c>
      <c r="K16" s="180"/>
      <c r="L16" s="181">
        <v>0</v>
      </c>
      <c r="M16" s="181">
        <v>0</v>
      </c>
      <c r="N16" s="182"/>
      <c r="O16" s="180">
        <v>1986.4</v>
      </c>
      <c r="P16" s="181">
        <v>1</v>
      </c>
      <c r="Q16" s="181">
        <v>0.37035752627125818</v>
      </c>
      <c r="R16" s="61"/>
    </row>
    <row r="17" ht="15" customHeight="1">
      <c r="B17" s="12"/>
      <c r="C17" s="139" t="s">
        <v>8</v>
      </c>
      <c r="D17" s="140"/>
      <c r="E17" s="128">
        <v>0</v>
      </c>
      <c r="F17" s="129">
        <v>0</v>
      </c>
      <c r="G17" s="130">
        <v>0</v>
      </c>
      <c r="H17" s="130">
        <v>0</v>
      </c>
      <c r="I17" s="130">
        <v>0</v>
      </c>
      <c r="J17" s="130">
        <v>0</v>
      </c>
      <c r="K17" s="130"/>
      <c r="L17" s="131">
        <v>0</v>
      </c>
      <c r="M17" s="131"/>
      <c r="N17" s="138"/>
      <c r="O17" s="130">
        <v>1986.4</v>
      </c>
      <c r="P17" s="131">
        <v>1</v>
      </c>
      <c r="Q17" s="131">
        <v>0.37035752627125818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0" t="s">
        <v>275</v>
      </c>
      <c r="D20" s="140"/>
      <c r="E20" s="4"/>
      <c r="F20" s="4"/>
      <c r="G20" s="4"/>
      <c r="H20" s="159"/>
      <c r="I20" s="159"/>
      <c r="J20" s="159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0" t="s">
        <v>276</v>
      </c>
      <c r="D22" s="140"/>
      <c r="E22" s="4"/>
      <c r="F22" s="4"/>
      <c r="G22" s="130">
        <v>0</v>
      </c>
      <c r="H22" s="130">
        <v>0</v>
      </c>
      <c r="I22" s="130">
        <v>0</v>
      </c>
      <c r="J22" s="130">
        <v>0</v>
      </c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0" t="s">
        <v>277</v>
      </c>
      <c r="D23" s="140"/>
      <c r="E23" s="4"/>
      <c r="F23" s="4"/>
      <c r="G23" s="130">
        <v>0</v>
      </c>
      <c r="H23" s="130">
        <v>0</v>
      </c>
      <c r="I23" s="130">
        <v>0</v>
      </c>
      <c r="J23" s="130">
        <v>0</v>
      </c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2"/>
      <c r="Q26" s="142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35"/>
  <sheetViews>
    <sheetView showGridLines="0" zoomScale="70" zoomScaleNormal="70" workbookViewId="0">
      <selection activeCell="A24" sqref="A24:XFD24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116</v>
      </c>
      <c r="D15" s="137"/>
      <c r="E15" s="65">
        <v>71</v>
      </c>
      <c r="F15" s="74">
        <v>0.9726027397260274</v>
      </c>
      <c r="G15" s="66">
        <v>11903.279999999999</v>
      </c>
      <c r="H15" s="66">
        <v>1.95</v>
      </c>
      <c r="I15" s="66">
        <v>0</v>
      </c>
      <c r="J15" s="66">
        <v>9997.58</v>
      </c>
      <c r="K15" s="66">
        <v>140.81098591549295</v>
      </c>
      <c r="L15" s="67">
        <v>1</v>
      </c>
      <c r="M15" s="67">
        <v>0.84006509130256535</v>
      </c>
      <c r="N15" s="138"/>
      <c r="O15" s="66">
        <v>128.41015674850908</v>
      </c>
      <c r="P15" s="67">
        <v>1</v>
      </c>
      <c r="Q15" s="67">
        <v>0.75718681748435945</v>
      </c>
      <c r="R15" s="61"/>
    </row>
    <row r="16" ht="15" customHeight="1">
      <c r="B16" s="12"/>
      <c r="C16" s="176"/>
      <c r="D16" s="177" t="s">
        <v>163</v>
      </c>
      <c r="E16" s="178">
        <v>0</v>
      </c>
      <c r="F16" s="179">
        <v>0</v>
      </c>
      <c r="G16" s="180">
        <v>0</v>
      </c>
      <c r="H16" s="180">
        <v>0</v>
      </c>
      <c r="I16" s="180">
        <v>0</v>
      </c>
      <c r="J16" s="180">
        <v>0</v>
      </c>
      <c r="K16" s="180"/>
      <c r="L16" s="181">
        <v>0</v>
      </c>
      <c r="M16" s="181">
        <v>0</v>
      </c>
      <c r="N16" s="182"/>
      <c r="O16" s="180">
        <v>168.52205254515647</v>
      </c>
      <c r="P16" s="181">
        <v>0.44346527885518067</v>
      </c>
      <c r="Q16" s="181">
        <v>0.73980353921989217</v>
      </c>
      <c r="R16" s="61"/>
    </row>
    <row r="17" ht="15" customHeight="1">
      <c r="B17" s="12"/>
      <c r="C17" s="176"/>
      <c r="D17" s="177" t="s">
        <v>320</v>
      </c>
      <c r="E17" s="178">
        <v>0</v>
      </c>
      <c r="F17" s="179">
        <v>0</v>
      </c>
      <c r="G17" s="180">
        <v>0</v>
      </c>
      <c r="H17" s="180">
        <v>0</v>
      </c>
      <c r="I17" s="180">
        <v>0</v>
      </c>
      <c r="J17" s="180">
        <v>0</v>
      </c>
      <c r="K17" s="180"/>
      <c r="L17" s="181">
        <v>0</v>
      </c>
      <c r="M17" s="181">
        <v>0</v>
      </c>
      <c r="N17" s="182"/>
      <c r="O17" s="180">
        <v>35.641228070175444</v>
      </c>
      <c r="P17" s="181">
        <v>0.002194588574839328</v>
      </c>
      <c r="Q17" s="181">
        <v>1.0000000000000002</v>
      </c>
      <c r="R17" s="61"/>
    </row>
    <row r="18" ht="15" customHeight="1">
      <c r="B18" s="12"/>
      <c r="C18" s="176"/>
      <c r="D18" s="177" t="s">
        <v>321</v>
      </c>
      <c r="E18" s="178">
        <v>0</v>
      </c>
      <c r="F18" s="179">
        <v>0</v>
      </c>
      <c r="G18" s="180">
        <v>0</v>
      </c>
      <c r="H18" s="180">
        <v>0</v>
      </c>
      <c r="I18" s="180">
        <v>0</v>
      </c>
      <c r="J18" s="180">
        <v>0</v>
      </c>
      <c r="K18" s="180"/>
      <c r="L18" s="181">
        <v>0</v>
      </c>
      <c r="M18" s="181">
        <v>0</v>
      </c>
      <c r="N18" s="182"/>
      <c r="O18" s="180">
        <v>230</v>
      </c>
      <c r="P18" s="181">
        <v>0.0024845825710075819</v>
      </c>
      <c r="Q18" s="181">
        <v>0.1411042944785276</v>
      </c>
      <c r="R18" s="61"/>
    </row>
    <row r="19" ht="15" customHeight="1">
      <c r="B19" s="12"/>
      <c r="C19" s="176"/>
      <c r="D19" s="177" t="s">
        <v>118</v>
      </c>
      <c r="E19" s="178">
        <v>6</v>
      </c>
      <c r="F19" s="179">
        <v>0.0821917808219178</v>
      </c>
      <c r="G19" s="180">
        <v>729.6</v>
      </c>
      <c r="H19" s="180">
        <v>0</v>
      </c>
      <c r="I19" s="180">
        <v>0</v>
      </c>
      <c r="J19" s="180">
        <v>729.6</v>
      </c>
      <c r="K19" s="180">
        <v>121.60000000000001</v>
      </c>
      <c r="L19" s="181">
        <v>0.072977660593863722</v>
      </c>
      <c r="M19" s="181">
        <v>1</v>
      </c>
      <c r="N19" s="182"/>
      <c r="O19" s="180">
        <v>66.902633473305372</v>
      </c>
      <c r="P19" s="181">
        <v>0.12047707398963727</v>
      </c>
      <c r="Q19" s="181">
        <v>0.84941158790978089</v>
      </c>
      <c r="R19" s="61"/>
    </row>
    <row r="20" ht="15" customHeight="1">
      <c r="B20" s="12"/>
      <c r="C20" s="176"/>
      <c r="D20" s="177" t="s">
        <v>322</v>
      </c>
      <c r="E20" s="178">
        <v>0</v>
      </c>
      <c r="F20" s="179">
        <v>0</v>
      </c>
      <c r="G20" s="180">
        <v>0</v>
      </c>
      <c r="H20" s="180">
        <v>0</v>
      </c>
      <c r="I20" s="180">
        <v>0</v>
      </c>
      <c r="J20" s="180">
        <v>0</v>
      </c>
      <c r="K20" s="180"/>
      <c r="L20" s="181">
        <v>0</v>
      </c>
      <c r="M20" s="181">
        <v>0</v>
      </c>
      <c r="N20" s="182"/>
      <c r="O20" s="180">
        <v>212.47750000000002</v>
      </c>
      <c r="P20" s="181">
        <v>0.00091811807518480618</v>
      </c>
      <c r="Q20" s="181">
        <v>0.49709356725146203</v>
      </c>
      <c r="R20" s="61"/>
    </row>
    <row r="21" ht="15" customHeight="1">
      <c r="B21" s="12"/>
      <c r="C21" s="176"/>
      <c r="D21" s="177" t="s">
        <v>323</v>
      </c>
      <c r="E21" s="178">
        <v>0</v>
      </c>
      <c r="F21" s="179">
        <v>0</v>
      </c>
      <c r="G21" s="180">
        <v>0</v>
      </c>
      <c r="H21" s="180">
        <v>0</v>
      </c>
      <c r="I21" s="180">
        <v>0</v>
      </c>
      <c r="J21" s="180">
        <v>0</v>
      </c>
      <c r="K21" s="180"/>
      <c r="L21" s="181">
        <v>0</v>
      </c>
      <c r="M21" s="181">
        <v>0</v>
      </c>
      <c r="N21" s="182"/>
      <c r="O21" s="180">
        <v>116.49935483870966</v>
      </c>
      <c r="P21" s="181">
        <v>0.0078026263161238788</v>
      </c>
      <c r="Q21" s="181">
        <v>0.84961898490051269</v>
      </c>
      <c r="R21" s="61"/>
    </row>
    <row r="22" ht="15" customHeight="1">
      <c r="B22" s="12"/>
      <c r="C22" s="176"/>
      <c r="D22" s="177" t="s">
        <v>324</v>
      </c>
      <c r="E22" s="178">
        <v>24</v>
      </c>
      <c r="F22" s="179">
        <v>0.32876712328767121</v>
      </c>
      <c r="G22" s="180">
        <v>5459.7</v>
      </c>
      <c r="H22" s="180">
        <v>0.72</v>
      </c>
      <c r="I22" s="180">
        <v>0</v>
      </c>
      <c r="J22" s="180">
        <v>4509.15</v>
      </c>
      <c r="K22" s="180">
        <v>187.88125</v>
      </c>
      <c r="L22" s="181">
        <v>0.45102414784377814</v>
      </c>
      <c r="M22" s="181">
        <v>0.82602890268696083</v>
      </c>
      <c r="N22" s="182"/>
      <c r="O22" s="180">
        <v>177.07542197452275</v>
      </c>
      <c r="P22" s="181">
        <v>0.24025560218816983</v>
      </c>
      <c r="Q22" s="181">
        <v>0.75965527447611847</v>
      </c>
      <c r="R22" s="61"/>
    </row>
    <row r="23" ht="15" customHeight="1">
      <c r="B23" s="12"/>
      <c r="C23" s="176"/>
      <c r="D23" s="177" t="s">
        <v>325</v>
      </c>
      <c r="E23" s="178">
        <v>41</v>
      </c>
      <c r="F23" s="179">
        <v>0.56164383561643838</v>
      </c>
      <c r="G23" s="180">
        <v>5713.98</v>
      </c>
      <c r="H23" s="180">
        <v>1.23</v>
      </c>
      <c r="I23" s="180">
        <v>0</v>
      </c>
      <c r="J23" s="180">
        <v>4758.83</v>
      </c>
      <c r="K23" s="180">
        <v>116.0690243902439</v>
      </c>
      <c r="L23" s="181">
        <v>0.47599819156235806</v>
      </c>
      <c r="M23" s="181">
        <v>0.833055068446162</v>
      </c>
      <c r="N23" s="182"/>
      <c r="O23" s="180">
        <v>98.466481589714007</v>
      </c>
      <c r="P23" s="181">
        <v>0.1819969156175916</v>
      </c>
      <c r="Q23" s="181">
        <v>0.78775984509150954</v>
      </c>
      <c r="R23" s="61"/>
    </row>
    <row r="24" ht="15" customHeight="1">
      <c r="B24" s="12"/>
      <c r="C24" s="176"/>
      <c r="D24" s="177" t="s">
        <v>123</v>
      </c>
      <c r="E24" s="178">
        <v>0</v>
      </c>
      <c r="F24" s="179">
        <v>0</v>
      </c>
      <c r="G24" s="180">
        <v>0</v>
      </c>
      <c r="H24" s="180">
        <v>0</v>
      </c>
      <c r="I24" s="180">
        <v>0</v>
      </c>
      <c r="J24" s="180">
        <v>0</v>
      </c>
      <c r="K24" s="180"/>
      <c r="L24" s="181">
        <v>0</v>
      </c>
      <c r="M24" s="181">
        <v>0</v>
      </c>
      <c r="N24" s="182"/>
      <c r="O24" s="180">
        <v>116.63666666666666</v>
      </c>
      <c r="P24" s="181">
        <v>0.00037799142931359259</v>
      </c>
      <c r="Q24" s="181">
        <v>0.87249158668827109</v>
      </c>
      <c r="R24" s="61"/>
    </row>
    <row r="25" ht="15" customHeight="1">
      <c r="B25" s="12"/>
      <c r="C25" s="176"/>
      <c r="D25" s="177" t="s">
        <v>326</v>
      </c>
      <c r="E25" s="178">
        <v>0</v>
      </c>
      <c r="F25" s="179">
        <v>0</v>
      </c>
      <c r="G25" s="180">
        <v>0</v>
      </c>
      <c r="H25" s="180">
        <v>0</v>
      </c>
      <c r="I25" s="180">
        <v>0</v>
      </c>
      <c r="J25" s="180">
        <v>0</v>
      </c>
      <c r="K25" s="180"/>
      <c r="L25" s="181">
        <v>0</v>
      </c>
      <c r="M25" s="181">
        <v>0</v>
      </c>
      <c r="N25" s="182"/>
      <c r="O25" s="180">
        <v>8.4</v>
      </c>
      <c r="P25" s="181">
        <v>2.7222382951909158E-05</v>
      </c>
      <c r="Q25" s="181">
        <v>1</v>
      </c>
      <c r="R25" s="61"/>
    </row>
    <row r="26" ht="15" customHeight="1">
      <c r="B26" s="12"/>
      <c r="C26" s="139" t="s">
        <v>8</v>
      </c>
      <c r="D26" s="140"/>
      <c r="E26" s="128">
        <v>71</v>
      </c>
      <c r="F26" s="129">
        <v>0.9726027397260274</v>
      </c>
      <c r="G26" s="130">
        <v>11903.279999999999</v>
      </c>
      <c r="H26" s="130">
        <v>1.95</v>
      </c>
      <c r="I26" s="130">
        <v>0</v>
      </c>
      <c r="J26" s="130">
        <v>9997.58</v>
      </c>
      <c r="K26" s="130">
        <v>140.81098591549295</v>
      </c>
      <c r="L26" s="131">
        <v>1</v>
      </c>
      <c r="M26" s="131">
        <v>0.84006509130256546</v>
      </c>
      <c r="N26" s="138"/>
      <c r="O26" s="130">
        <v>128.41015674850908</v>
      </c>
      <c r="P26" s="131">
        <v>1</v>
      </c>
      <c r="Q26" s="131">
        <v>0.75718681748435945</v>
      </c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0" t="s">
        <v>275</v>
      </c>
      <c r="D29" s="140"/>
      <c r="E29" s="4"/>
      <c r="F29" s="4"/>
      <c r="G29" s="4"/>
      <c r="H29" s="159">
        <v>0.0002</v>
      </c>
      <c r="I29" s="159">
        <v>0</v>
      </c>
      <c r="J29" s="159">
        <v>0.9998</v>
      </c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0" t="s">
        <v>276</v>
      </c>
      <c r="D31" s="140"/>
      <c r="E31" s="4"/>
      <c r="F31" s="4"/>
      <c r="G31" s="130">
        <v>163.06</v>
      </c>
      <c r="H31" s="130">
        <v>0.03</v>
      </c>
      <c r="I31" s="130">
        <v>0</v>
      </c>
      <c r="J31" s="130">
        <v>136.95</v>
      </c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140" t="s">
        <v>277</v>
      </c>
      <c r="D32" s="140"/>
      <c r="E32" s="4"/>
      <c r="F32" s="4"/>
      <c r="G32" s="130">
        <v>360.71</v>
      </c>
      <c r="H32" s="130">
        <v>0.06</v>
      </c>
      <c r="I32" s="130">
        <v>0</v>
      </c>
      <c r="J32" s="130">
        <v>302.96</v>
      </c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5" customHeight="1">
      <c r="B34" s="1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3"/>
      <c r="Q34" s="23"/>
      <c r="R34" s="61"/>
    </row>
    <row r="35" ht="12" customHeight="1">
      <c r="B35" s="13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2"/>
      <c r="Q35" s="142"/>
      <c r="R35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28"/>
  <sheetViews>
    <sheetView showGridLines="0" zoomScale="70" zoomScaleNormal="70" workbookViewId="0">
      <selection activeCell="C18" sqref="C18:Q18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129</v>
      </c>
      <c r="D15" s="137"/>
      <c r="E15" s="65">
        <v>42</v>
      </c>
      <c r="F15" s="74">
        <v>0.57534246575342463</v>
      </c>
      <c r="G15" s="66">
        <v>2453</v>
      </c>
      <c r="H15" s="66">
        <v>0</v>
      </c>
      <c r="I15" s="66">
        <v>0</v>
      </c>
      <c r="J15" s="66">
        <v>1574</v>
      </c>
      <c r="K15" s="66">
        <v>37.476190476190474</v>
      </c>
      <c r="L15" s="67">
        <v>1</v>
      </c>
      <c r="M15" s="67">
        <v>0.64166326946596008</v>
      </c>
      <c r="N15" s="138"/>
      <c r="O15" s="66">
        <v>40.888151311775466</v>
      </c>
      <c r="P15" s="67">
        <v>1</v>
      </c>
      <c r="Q15" s="67">
        <v>0.72449147429868277</v>
      </c>
      <c r="R15" s="61"/>
    </row>
    <row r="16" ht="15" customHeight="1">
      <c r="B16" s="12"/>
      <c r="C16" s="176"/>
      <c r="D16" s="177" t="s">
        <v>61</v>
      </c>
      <c r="E16" s="178">
        <v>42</v>
      </c>
      <c r="F16" s="179">
        <v>0.57534246575342463</v>
      </c>
      <c r="G16" s="180">
        <v>2453</v>
      </c>
      <c r="H16" s="180">
        <v>0</v>
      </c>
      <c r="I16" s="180">
        <v>0</v>
      </c>
      <c r="J16" s="180">
        <v>1574</v>
      </c>
      <c r="K16" s="180">
        <v>37.476190476190474</v>
      </c>
      <c r="L16" s="181">
        <v>1</v>
      </c>
      <c r="M16" s="181">
        <v>0.64166326946596008</v>
      </c>
      <c r="N16" s="182"/>
      <c r="O16" s="180">
        <v>42.058135109419595</v>
      </c>
      <c r="P16" s="181">
        <v>0.989390094974788</v>
      </c>
      <c r="Q16" s="181">
        <v>0.72603844319125954</v>
      </c>
      <c r="R16" s="61"/>
    </row>
    <row r="17" ht="15" customHeight="1">
      <c r="B17" s="12"/>
      <c r="C17" s="176"/>
      <c r="D17" s="177" t="s">
        <v>327</v>
      </c>
      <c r="E17" s="178">
        <v>0</v>
      </c>
      <c r="F17" s="179">
        <v>0</v>
      </c>
      <c r="G17" s="180">
        <v>0</v>
      </c>
      <c r="H17" s="180">
        <v>0</v>
      </c>
      <c r="I17" s="180">
        <v>0</v>
      </c>
      <c r="J17" s="180">
        <v>0</v>
      </c>
      <c r="K17" s="180"/>
      <c r="L17" s="181">
        <v>0</v>
      </c>
      <c r="M17" s="181">
        <v>0</v>
      </c>
      <c r="N17" s="182"/>
      <c r="O17" s="180">
        <v>2.1328000000000005</v>
      </c>
      <c r="P17" s="181">
        <v>0.0011934520398808163</v>
      </c>
      <c r="Q17" s="181">
        <v>1</v>
      </c>
      <c r="R17" s="61"/>
    </row>
    <row r="18" ht="15" customHeight="1">
      <c r="B18" s="12"/>
      <c r="C18" s="176"/>
      <c r="D18" s="177" t="s">
        <v>328</v>
      </c>
      <c r="E18" s="178">
        <v>0</v>
      </c>
      <c r="F18" s="179">
        <v>0</v>
      </c>
      <c r="G18" s="180">
        <v>0</v>
      </c>
      <c r="H18" s="180">
        <v>0</v>
      </c>
      <c r="I18" s="180">
        <v>0</v>
      </c>
      <c r="J18" s="180">
        <v>0</v>
      </c>
      <c r="K18" s="180"/>
      <c r="L18" s="181">
        <v>0</v>
      </c>
      <c r="M18" s="181">
        <v>0</v>
      </c>
      <c r="N18" s="182"/>
      <c r="O18" s="180">
        <v>25.241999999999997</v>
      </c>
      <c r="P18" s="181">
        <v>0.0094164529853311939</v>
      </c>
      <c r="Q18" s="181">
        <v>0.54202128331571653</v>
      </c>
      <c r="R18" s="61"/>
    </row>
    <row r="19" ht="15" customHeight="1">
      <c r="B19" s="12"/>
      <c r="C19" s="139" t="s">
        <v>8</v>
      </c>
      <c r="D19" s="140"/>
      <c r="E19" s="128">
        <v>42</v>
      </c>
      <c r="F19" s="129">
        <v>0.57534246575342463</v>
      </c>
      <c r="G19" s="130">
        <v>2453</v>
      </c>
      <c r="H19" s="130">
        <v>0</v>
      </c>
      <c r="I19" s="130">
        <v>0</v>
      </c>
      <c r="J19" s="130">
        <v>1574</v>
      </c>
      <c r="K19" s="130">
        <v>37.476190476190474</v>
      </c>
      <c r="L19" s="131">
        <v>1</v>
      </c>
      <c r="M19" s="131">
        <v>0.64166326946596008</v>
      </c>
      <c r="N19" s="138"/>
      <c r="O19" s="130">
        <v>40.888151311775466</v>
      </c>
      <c r="P19" s="131">
        <v>1</v>
      </c>
      <c r="Q19" s="131">
        <v>0.72449147429868277</v>
      </c>
      <c r="R19" s="61"/>
    </row>
    <row r="20" ht="15" customHeight="1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0" t="s">
        <v>275</v>
      </c>
      <c r="D22" s="140"/>
      <c r="E22" s="4"/>
      <c r="F22" s="4"/>
      <c r="G22" s="4"/>
      <c r="H22" s="159">
        <v>0</v>
      </c>
      <c r="I22" s="159">
        <v>0</v>
      </c>
      <c r="J22" s="159">
        <v>1</v>
      </c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140" t="s">
        <v>276</v>
      </c>
      <c r="D24" s="140"/>
      <c r="E24" s="4"/>
      <c r="F24" s="4"/>
      <c r="G24" s="130">
        <v>33.6</v>
      </c>
      <c r="H24" s="130">
        <v>0</v>
      </c>
      <c r="I24" s="130">
        <v>0</v>
      </c>
      <c r="J24" s="130">
        <v>21.56</v>
      </c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0" t="s">
        <v>277</v>
      </c>
      <c r="D25" s="140"/>
      <c r="E25" s="4"/>
      <c r="F25" s="4"/>
      <c r="G25" s="130">
        <v>74.33</v>
      </c>
      <c r="H25" s="130">
        <v>0</v>
      </c>
      <c r="I25" s="130">
        <v>0</v>
      </c>
      <c r="J25" s="130">
        <v>47.7</v>
      </c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2" customHeight="1">
      <c r="B28" s="13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2"/>
      <c r="Q28" s="142"/>
      <c r="R28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V48"/>
  <sheetViews>
    <sheetView showGridLines="0" zoomScale="70" zoomScaleNormal="70" workbookViewId="0">
      <selection activeCell="A35" sqref="A35:XFD35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59" t="s">
        <v>263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6" t="s">
        <v>267</v>
      </c>
      <c r="H14" s="125" t="s">
        <v>268</v>
      </c>
      <c r="I14" s="125" t="s">
        <v>269</v>
      </c>
      <c r="J14" s="125" t="s">
        <v>270</v>
      </c>
      <c r="K14" s="127" t="s">
        <v>271</v>
      </c>
      <c r="L14" s="127" t="s">
        <v>272</v>
      </c>
      <c r="M14" s="127" t="s">
        <v>273</v>
      </c>
      <c r="N14" s="42"/>
      <c r="O14" s="146" t="s">
        <v>271</v>
      </c>
      <c r="P14" s="146" t="s">
        <v>272</v>
      </c>
      <c r="Q14" s="127" t="s">
        <v>273</v>
      </c>
      <c r="R14" s="61"/>
    </row>
    <row r="15" ht="15" customHeight="1">
      <c r="B15" s="12"/>
      <c r="C15" s="136" t="s">
        <v>131</v>
      </c>
      <c r="D15" s="137"/>
      <c r="E15" s="65">
        <v>2257</v>
      </c>
      <c r="F15" s="74">
        <v>30.917808219178081</v>
      </c>
      <c r="G15" s="66">
        <v>43167.900000000067</v>
      </c>
      <c r="H15" s="66">
        <v>20534.21000000001</v>
      </c>
      <c r="I15" s="66">
        <v>0</v>
      </c>
      <c r="J15" s="66">
        <v>16855.279999999981</v>
      </c>
      <c r="K15" s="66">
        <v>7.468001772264067</v>
      </c>
      <c r="L15" s="67">
        <v>1.0000000000000011</v>
      </c>
      <c r="M15" s="67">
        <v>0.86614104461880237</v>
      </c>
      <c r="N15" s="138"/>
      <c r="O15" s="66">
        <v>4.6795199488126045</v>
      </c>
      <c r="P15" s="67">
        <v>1</v>
      </c>
      <c r="Q15" s="67">
        <v>0.93224282505416611</v>
      </c>
      <c r="R15" s="61"/>
    </row>
    <row r="16" ht="15" customHeight="1">
      <c r="B16" s="12"/>
      <c r="C16" s="176"/>
      <c r="D16" s="177" t="s">
        <v>329</v>
      </c>
      <c r="E16" s="178">
        <v>0</v>
      </c>
      <c r="F16" s="179">
        <v>0</v>
      </c>
      <c r="G16" s="180">
        <v>0</v>
      </c>
      <c r="H16" s="180">
        <v>0</v>
      </c>
      <c r="I16" s="180">
        <v>0</v>
      </c>
      <c r="J16" s="180">
        <v>0</v>
      </c>
      <c r="K16" s="180"/>
      <c r="L16" s="181">
        <v>0</v>
      </c>
      <c r="M16" s="181">
        <v>0</v>
      </c>
      <c r="N16" s="182"/>
      <c r="O16" s="180">
        <v>12.908224137931022</v>
      </c>
      <c r="P16" s="181">
        <v>0.018198791860383944</v>
      </c>
      <c r="Q16" s="181">
        <v>0.82772882370320466</v>
      </c>
      <c r="R16" s="61"/>
    </row>
    <row r="17" ht="15" customHeight="1">
      <c r="B17" s="12"/>
      <c r="C17" s="176"/>
      <c r="D17" s="177" t="s">
        <v>330</v>
      </c>
      <c r="E17" s="178">
        <v>0</v>
      </c>
      <c r="F17" s="179">
        <v>0</v>
      </c>
      <c r="G17" s="180">
        <v>0</v>
      </c>
      <c r="H17" s="180">
        <v>0</v>
      </c>
      <c r="I17" s="180">
        <v>0</v>
      </c>
      <c r="J17" s="180">
        <v>0</v>
      </c>
      <c r="K17" s="180"/>
      <c r="L17" s="181">
        <v>0</v>
      </c>
      <c r="M17" s="181">
        <v>0</v>
      </c>
      <c r="N17" s="182"/>
      <c r="O17" s="180">
        <v>7.14</v>
      </c>
      <c r="P17" s="181">
        <v>8.6779327990002021E-06</v>
      </c>
      <c r="Q17" s="181">
        <v>1</v>
      </c>
      <c r="R17" s="61"/>
    </row>
    <row r="18" ht="15" customHeight="1">
      <c r="B18" s="12"/>
      <c r="C18" s="176"/>
      <c r="D18" s="177" t="s">
        <v>134</v>
      </c>
      <c r="E18" s="178">
        <v>79</v>
      </c>
      <c r="F18" s="179">
        <v>1.0821917808219179</v>
      </c>
      <c r="G18" s="180">
        <v>2843.73</v>
      </c>
      <c r="H18" s="180">
        <v>1706.18</v>
      </c>
      <c r="I18" s="180">
        <v>0</v>
      </c>
      <c r="J18" s="180">
        <v>1137.55</v>
      </c>
      <c r="K18" s="180">
        <v>14.399367088607594</v>
      </c>
      <c r="L18" s="181">
        <v>0.067489237793735932</v>
      </c>
      <c r="M18" s="181">
        <v>1</v>
      </c>
      <c r="N18" s="182"/>
      <c r="O18" s="180">
        <v>11.111481637466333</v>
      </c>
      <c r="P18" s="181">
        <v>0.080164841101249426</v>
      </c>
      <c r="Q18" s="181">
        <v>1.0000027765426043</v>
      </c>
      <c r="R18" s="61"/>
    </row>
    <row r="19" ht="15" customHeight="1">
      <c r="B19" s="12"/>
      <c r="C19" s="176"/>
      <c r="D19" s="177" t="s">
        <v>331</v>
      </c>
      <c r="E19" s="178">
        <v>0</v>
      </c>
      <c r="F19" s="179">
        <v>0</v>
      </c>
      <c r="G19" s="180">
        <v>0</v>
      </c>
      <c r="H19" s="180">
        <v>0</v>
      </c>
      <c r="I19" s="180">
        <v>0</v>
      </c>
      <c r="J19" s="180">
        <v>0</v>
      </c>
      <c r="K19" s="180"/>
      <c r="L19" s="181">
        <v>0</v>
      </c>
      <c r="M19" s="181">
        <v>0</v>
      </c>
      <c r="N19" s="182"/>
      <c r="O19" s="180">
        <v>17.42400793650793</v>
      </c>
      <c r="P19" s="181">
        <v>0.0053366248221974827</v>
      </c>
      <c r="Q19" s="181">
        <v>1.0000000000000007</v>
      </c>
      <c r="R19" s="61"/>
    </row>
    <row r="20" ht="15" customHeight="1">
      <c r="B20" s="12"/>
      <c r="C20" s="176"/>
      <c r="D20" s="177" t="s">
        <v>282</v>
      </c>
      <c r="E20" s="178">
        <v>33</v>
      </c>
      <c r="F20" s="179">
        <v>0.45205479452054792</v>
      </c>
      <c r="G20" s="180">
        <v>1060.51</v>
      </c>
      <c r="H20" s="180">
        <v>288.94</v>
      </c>
      <c r="I20" s="180">
        <v>0</v>
      </c>
      <c r="J20" s="180">
        <v>508.42</v>
      </c>
      <c r="K20" s="180">
        <v>15.406666666666666</v>
      </c>
      <c r="L20" s="181">
        <v>0.030163841834724821</v>
      </c>
      <c r="M20" s="181">
        <v>0.75186466888572479</v>
      </c>
      <c r="N20" s="182"/>
      <c r="O20" s="180">
        <v>20.920003639010179</v>
      </c>
      <c r="P20" s="181">
        <v>0.034935467506827682</v>
      </c>
      <c r="Q20" s="181">
        <v>0.84693508328271849</v>
      </c>
      <c r="R20" s="61"/>
    </row>
    <row r="21" ht="15" customHeight="1">
      <c r="B21" s="12"/>
      <c r="C21" s="176"/>
      <c r="D21" s="177" t="s">
        <v>332</v>
      </c>
      <c r="E21" s="178">
        <v>0</v>
      </c>
      <c r="F21" s="179">
        <v>0</v>
      </c>
      <c r="G21" s="180">
        <v>0</v>
      </c>
      <c r="H21" s="180">
        <v>0</v>
      </c>
      <c r="I21" s="180">
        <v>0</v>
      </c>
      <c r="J21" s="180">
        <v>0</v>
      </c>
      <c r="K21" s="180"/>
      <c r="L21" s="181">
        <v>0</v>
      </c>
      <c r="M21" s="181">
        <v>0</v>
      </c>
      <c r="N21" s="182"/>
      <c r="O21" s="180">
        <v>14.94</v>
      </c>
      <c r="P21" s="181">
        <v>9.079013726685086E-06</v>
      </c>
      <c r="Q21" s="181">
        <v>1</v>
      </c>
      <c r="R21" s="61"/>
    </row>
    <row r="22" ht="15" customHeight="1">
      <c r="B22" s="12"/>
      <c r="C22" s="176"/>
      <c r="D22" s="177" t="s">
        <v>333</v>
      </c>
      <c r="E22" s="178">
        <v>0</v>
      </c>
      <c r="F22" s="179">
        <v>0</v>
      </c>
      <c r="G22" s="180">
        <v>0</v>
      </c>
      <c r="H22" s="180">
        <v>0</v>
      </c>
      <c r="I22" s="180">
        <v>0</v>
      </c>
      <c r="J22" s="180">
        <v>0</v>
      </c>
      <c r="K22" s="180"/>
      <c r="L22" s="181">
        <v>0</v>
      </c>
      <c r="M22" s="181">
        <v>0</v>
      </c>
      <c r="N22" s="182"/>
      <c r="O22" s="180">
        <v>7.4310278745644629</v>
      </c>
      <c r="P22" s="181">
        <v>0.0025920827269036045</v>
      </c>
      <c r="Q22" s="181">
        <v>0.90534741339301028</v>
      </c>
      <c r="R22" s="61"/>
    </row>
    <row r="23" ht="15" customHeight="1">
      <c r="B23" s="12"/>
      <c r="C23" s="176"/>
      <c r="D23" s="177" t="s">
        <v>135</v>
      </c>
      <c r="E23" s="178">
        <v>319</v>
      </c>
      <c r="F23" s="179">
        <v>4.36986301369863</v>
      </c>
      <c r="G23" s="180">
        <v>7955.76000000002</v>
      </c>
      <c r="H23" s="180">
        <v>4357.68000000002</v>
      </c>
      <c r="I23" s="180">
        <v>0</v>
      </c>
      <c r="J23" s="180">
        <v>3349.88</v>
      </c>
      <c r="K23" s="180">
        <v>10.501191222570533</v>
      </c>
      <c r="L23" s="181">
        <v>0.19874365777370676</v>
      </c>
      <c r="M23" s="181">
        <v>0.96880247770169037</v>
      </c>
      <c r="N23" s="182"/>
      <c r="O23" s="180">
        <v>7.4918051543081194</v>
      </c>
      <c r="P23" s="181">
        <v>0.19856397956969338</v>
      </c>
      <c r="Q23" s="181">
        <v>0.94866482470826186</v>
      </c>
      <c r="R23" s="61"/>
    </row>
    <row r="24" ht="15" customHeight="1">
      <c r="B24" s="12"/>
      <c r="C24" s="176"/>
      <c r="D24" s="177" t="s">
        <v>165</v>
      </c>
      <c r="E24" s="178">
        <v>542</v>
      </c>
      <c r="F24" s="179">
        <v>7.4246575342465757</v>
      </c>
      <c r="G24" s="180">
        <v>26405.67</v>
      </c>
      <c r="H24" s="180">
        <v>11498.19</v>
      </c>
      <c r="I24" s="180">
        <v>0</v>
      </c>
      <c r="J24" s="180">
        <v>9655.72999999998</v>
      </c>
      <c r="K24" s="180">
        <v>17.814999999999998</v>
      </c>
      <c r="L24" s="181">
        <v>0.57286084835137774</v>
      </c>
      <c r="M24" s="181">
        <v>0.8011127913058067</v>
      </c>
      <c r="N24" s="182"/>
      <c r="O24" s="180">
        <v>5.5401547950888528</v>
      </c>
      <c r="P24" s="181">
        <v>0.39736658406038572</v>
      </c>
      <c r="Q24" s="181">
        <v>0.90605135284518812</v>
      </c>
      <c r="R24" s="61"/>
    </row>
    <row r="25" ht="15" customHeight="1">
      <c r="B25" s="12"/>
      <c r="C25" s="176"/>
      <c r="D25" s="177" t="s">
        <v>334</v>
      </c>
      <c r="E25" s="178">
        <v>0</v>
      </c>
      <c r="F25" s="179">
        <v>0</v>
      </c>
      <c r="G25" s="180">
        <v>0</v>
      </c>
      <c r="H25" s="180">
        <v>0</v>
      </c>
      <c r="I25" s="180">
        <v>0</v>
      </c>
      <c r="J25" s="180">
        <v>0</v>
      </c>
      <c r="K25" s="180"/>
      <c r="L25" s="181">
        <v>0</v>
      </c>
      <c r="M25" s="181">
        <v>0</v>
      </c>
      <c r="N25" s="182"/>
      <c r="O25" s="180">
        <v>14.075000000000001</v>
      </c>
      <c r="P25" s="181">
        <v>1.7106709264135554E-05</v>
      </c>
      <c r="Q25" s="181">
        <v>1</v>
      </c>
      <c r="R25" s="61"/>
    </row>
    <row r="26" ht="15" customHeight="1">
      <c r="B26" s="12"/>
      <c r="C26" s="176"/>
      <c r="D26" s="177" t="s">
        <v>335</v>
      </c>
      <c r="E26" s="178">
        <v>0</v>
      </c>
      <c r="F26" s="179">
        <v>0</v>
      </c>
      <c r="G26" s="180">
        <v>0</v>
      </c>
      <c r="H26" s="180">
        <v>0</v>
      </c>
      <c r="I26" s="180">
        <v>0</v>
      </c>
      <c r="J26" s="180">
        <v>0</v>
      </c>
      <c r="K26" s="180"/>
      <c r="L26" s="181">
        <v>0</v>
      </c>
      <c r="M26" s="181">
        <v>0</v>
      </c>
      <c r="N26" s="182"/>
      <c r="O26" s="180">
        <v>18</v>
      </c>
      <c r="P26" s="181">
        <v>1.0938570755042273E-05</v>
      </c>
      <c r="Q26" s="181">
        <v>1</v>
      </c>
      <c r="R26" s="61"/>
    </row>
    <row r="27" ht="15" customHeight="1">
      <c r="B27" s="12"/>
      <c r="C27" s="176"/>
      <c r="D27" s="177" t="s">
        <v>336</v>
      </c>
      <c r="E27" s="178">
        <v>0</v>
      </c>
      <c r="F27" s="179">
        <v>0</v>
      </c>
      <c r="G27" s="180">
        <v>0</v>
      </c>
      <c r="H27" s="180">
        <v>0</v>
      </c>
      <c r="I27" s="180">
        <v>0</v>
      </c>
      <c r="J27" s="180">
        <v>0</v>
      </c>
      <c r="K27" s="180"/>
      <c r="L27" s="181">
        <v>0</v>
      </c>
      <c r="M27" s="181">
        <v>0</v>
      </c>
      <c r="N27" s="182"/>
      <c r="O27" s="180">
        <v>1.82</v>
      </c>
      <c r="P27" s="181">
        <v>1.5484154602137617E-05</v>
      </c>
      <c r="Q27" s="181">
        <v>1</v>
      </c>
      <c r="R27" s="61"/>
    </row>
    <row r="28" ht="15" customHeight="1">
      <c r="B28" s="12"/>
      <c r="C28" s="176"/>
      <c r="D28" s="177" t="s">
        <v>337</v>
      </c>
      <c r="E28" s="178">
        <v>0</v>
      </c>
      <c r="F28" s="179">
        <v>0</v>
      </c>
      <c r="G28" s="180">
        <v>0</v>
      </c>
      <c r="H28" s="180">
        <v>0</v>
      </c>
      <c r="I28" s="180">
        <v>0</v>
      </c>
      <c r="J28" s="180">
        <v>0</v>
      </c>
      <c r="K28" s="180"/>
      <c r="L28" s="181">
        <v>0</v>
      </c>
      <c r="M28" s="181">
        <v>0</v>
      </c>
      <c r="N28" s="182"/>
      <c r="O28" s="180">
        <v>13.647373855902366</v>
      </c>
      <c r="P28" s="181">
        <v>0.035338547762167237</v>
      </c>
      <c r="Q28" s="181">
        <v>0.8777703020589247</v>
      </c>
      <c r="R28" s="61"/>
    </row>
    <row r="29" ht="15" customHeight="1">
      <c r="B29" s="12"/>
      <c r="C29" s="176"/>
      <c r="D29" s="177" t="s">
        <v>338</v>
      </c>
      <c r="E29" s="178">
        <v>0</v>
      </c>
      <c r="F29" s="179">
        <v>0</v>
      </c>
      <c r="G29" s="180">
        <v>0</v>
      </c>
      <c r="H29" s="180">
        <v>0</v>
      </c>
      <c r="I29" s="180">
        <v>0</v>
      </c>
      <c r="J29" s="180">
        <v>0</v>
      </c>
      <c r="K29" s="180"/>
      <c r="L29" s="181">
        <v>0</v>
      </c>
      <c r="M29" s="181">
        <v>0</v>
      </c>
      <c r="N29" s="182"/>
      <c r="O29" s="180">
        <v>1.6200000000000006</v>
      </c>
      <c r="P29" s="181">
        <v>9.84471367953805E-06</v>
      </c>
      <c r="Q29" s="181">
        <v>1.0000000000000002</v>
      </c>
      <c r="R29" s="61"/>
    </row>
    <row r="30" ht="15" customHeight="1">
      <c r="B30" s="12"/>
      <c r="C30" s="176"/>
      <c r="D30" s="177" t="s">
        <v>339</v>
      </c>
      <c r="E30" s="178">
        <v>0</v>
      </c>
      <c r="F30" s="179">
        <v>0</v>
      </c>
      <c r="G30" s="180">
        <v>0</v>
      </c>
      <c r="H30" s="180">
        <v>0</v>
      </c>
      <c r="I30" s="180">
        <v>0</v>
      </c>
      <c r="J30" s="180">
        <v>0</v>
      </c>
      <c r="K30" s="180"/>
      <c r="L30" s="181">
        <v>0</v>
      </c>
      <c r="M30" s="181">
        <v>0</v>
      </c>
      <c r="N30" s="182"/>
      <c r="O30" s="180">
        <v>15.45</v>
      </c>
      <c r="P30" s="181">
        <v>1.87778797961559E-05</v>
      </c>
      <c r="Q30" s="181">
        <v>1</v>
      </c>
      <c r="R30" s="61"/>
    </row>
    <row r="31" ht="15" customHeight="1">
      <c r="B31" s="12"/>
      <c r="C31" s="176"/>
      <c r="D31" s="177" t="s">
        <v>340</v>
      </c>
      <c r="E31" s="178">
        <v>0</v>
      </c>
      <c r="F31" s="179">
        <v>0</v>
      </c>
      <c r="G31" s="180">
        <v>0</v>
      </c>
      <c r="H31" s="180">
        <v>0</v>
      </c>
      <c r="I31" s="180">
        <v>0</v>
      </c>
      <c r="J31" s="180">
        <v>0</v>
      </c>
      <c r="K31" s="180"/>
      <c r="L31" s="181">
        <v>0</v>
      </c>
      <c r="M31" s="181">
        <v>0</v>
      </c>
      <c r="N31" s="182"/>
      <c r="O31" s="180">
        <v>0.9</v>
      </c>
      <c r="P31" s="181">
        <v>5.4692853775211367E-07</v>
      </c>
      <c r="Q31" s="181">
        <v>1</v>
      </c>
      <c r="R31" s="61"/>
    </row>
    <row r="32" ht="15" customHeight="1">
      <c r="B32" s="12"/>
      <c r="C32" s="176"/>
      <c r="D32" s="177" t="s">
        <v>128</v>
      </c>
      <c r="E32" s="178">
        <v>1284</v>
      </c>
      <c r="F32" s="179">
        <v>17.589041095890412</v>
      </c>
      <c r="G32" s="180">
        <v>4902.23000000005</v>
      </c>
      <c r="H32" s="180">
        <v>2683.21999999999</v>
      </c>
      <c r="I32" s="180">
        <v>0</v>
      </c>
      <c r="J32" s="180">
        <v>2203.7</v>
      </c>
      <c r="K32" s="180">
        <v>1.7162772585669781</v>
      </c>
      <c r="L32" s="181">
        <v>0.13074241424645586</v>
      </c>
      <c r="M32" s="181">
        <v>0.99687693151892109</v>
      </c>
      <c r="N32" s="182"/>
      <c r="O32" s="180">
        <v>2.2199663130734342</v>
      </c>
      <c r="P32" s="181">
        <v>0.22586668255920514</v>
      </c>
      <c r="Q32" s="181">
        <v>0.98195491248106159</v>
      </c>
      <c r="R32" s="61"/>
    </row>
    <row r="33" ht="15" customHeight="1">
      <c r="B33" s="12"/>
      <c r="C33" s="176"/>
      <c r="D33" s="177" t="s">
        <v>341</v>
      </c>
      <c r="E33" s="178">
        <v>0</v>
      </c>
      <c r="F33" s="179">
        <v>0</v>
      </c>
      <c r="G33" s="180">
        <v>0</v>
      </c>
      <c r="H33" s="180">
        <v>0</v>
      </c>
      <c r="I33" s="180">
        <v>0</v>
      </c>
      <c r="J33" s="180">
        <v>0</v>
      </c>
      <c r="K33" s="180"/>
      <c r="L33" s="181">
        <v>0</v>
      </c>
      <c r="M33" s="181">
        <v>0</v>
      </c>
      <c r="N33" s="182"/>
      <c r="O33" s="180">
        <v>0.44</v>
      </c>
      <c r="P33" s="181">
        <v>8.0216185536976666E-07</v>
      </c>
      <c r="Q33" s="181">
        <v>0.99999999999999989</v>
      </c>
      <c r="R33" s="61"/>
    </row>
    <row r="34" ht="15" customHeight="1">
      <c r="B34" s="12"/>
      <c r="C34" s="176"/>
      <c r="D34" s="177" t="s">
        <v>138</v>
      </c>
      <c r="E34" s="178">
        <v>0</v>
      </c>
      <c r="F34" s="179">
        <v>0</v>
      </c>
      <c r="G34" s="180">
        <v>0</v>
      </c>
      <c r="H34" s="180">
        <v>0</v>
      </c>
      <c r="I34" s="180">
        <v>0</v>
      </c>
      <c r="J34" s="180">
        <v>0</v>
      </c>
      <c r="K34" s="180"/>
      <c r="L34" s="181">
        <v>0</v>
      </c>
      <c r="M34" s="181">
        <v>0</v>
      </c>
      <c r="N34" s="182"/>
      <c r="O34" s="180">
        <v>13.405405405405405</v>
      </c>
      <c r="P34" s="181">
        <v>0.00030141839413894264</v>
      </c>
      <c r="Q34" s="181">
        <v>1</v>
      </c>
      <c r="R34" s="61"/>
    </row>
    <row r="35" ht="15" customHeight="1">
      <c r="B35" s="12"/>
      <c r="C35" s="176"/>
      <c r="D35" s="177" t="s">
        <v>342</v>
      </c>
      <c r="E35" s="178">
        <v>0</v>
      </c>
      <c r="F35" s="179">
        <v>0</v>
      </c>
      <c r="G35" s="180">
        <v>0</v>
      </c>
      <c r="H35" s="180">
        <v>0</v>
      </c>
      <c r="I35" s="180">
        <v>0</v>
      </c>
      <c r="J35" s="180">
        <v>0</v>
      </c>
      <c r="K35" s="180"/>
      <c r="L35" s="181">
        <v>0</v>
      </c>
      <c r="M35" s="181">
        <v>0</v>
      </c>
      <c r="N35" s="182"/>
      <c r="O35" s="180">
        <v>8.8615837104072419</v>
      </c>
      <c r="P35" s="181">
        <v>0.0011901225751323522</v>
      </c>
      <c r="Q35" s="181">
        <v>0.98940599099760784</v>
      </c>
      <c r="R35" s="61"/>
    </row>
    <row r="36" ht="15" customHeight="1">
      <c r="B36" s="12"/>
      <c r="C36" s="176"/>
      <c r="D36" s="177" t="s">
        <v>343</v>
      </c>
      <c r="E36" s="178">
        <v>0</v>
      </c>
      <c r="F36" s="179">
        <v>0</v>
      </c>
      <c r="G36" s="180">
        <v>0</v>
      </c>
      <c r="H36" s="180">
        <v>0</v>
      </c>
      <c r="I36" s="180">
        <v>0</v>
      </c>
      <c r="J36" s="180">
        <v>0</v>
      </c>
      <c r="K36" s="180"/>
      <c r="L36" s="181">
        <v>0</v>
      </c>
      <c r="M36" s="181">
        <v>0</v>
      </c>
      <c r="N36" s="182"/>
      <c r="O36" s="180">
        <v>4.8</v>
      </c>
      <c r="P36" s="181">
        <v>2.916952201344606E-06</v>
      </c>
      <c r="Q36" s="181">
        <v>1</v>
      </c>
      <c r="R36" s="61"/>
    </row>
    <row r="37" ht="15" customHeight="1">
      <c r="B37" s="12"/>
      <c r="C37" s="176"/>
      <c r="D37" s="177" t="s">
        <v>344</v>
      </c>
      <c r="E37" s="178">
        <v>0</v>
      </c>
      <c r="F37" s="179">
        <v>0</v>
      </c>
      <c r="G37" s="180">
        <v>0</v>
      </c>
      <c r="H37" s="180">
        <v>0</v>
      </c>
      <c r="I37" s="180">
        <v>0</v>
      </c>
      <c r="J37" s="180">
        <v>0</v>
      </c>
      <c r="K37" s="180"/>
      <c r="L37" s="181">
        <v>0</v>
      </c>
      <c r="M37" s="181">
        <v>0</v>
      </c>
      <c r="N37" s="182"/>
      <c r="O37" s="180">
        <v>1.8</v>
      </c>
      <c r="P37" s="181">
        <v>3.281571226512682E-06</v>
      </c>
      <c r="Q37" s="181">
        <v>0.94736842105263153</v>
      </c>
      <c r="R37" s="61"/>
    </row>
    <row r="38" ht="15" customHeight="1">
      <c r="B38" s="12"/>
      <c r="C38" s="176"/>
      <c r="D38" s="177" t="s">
        <v>345</v>
      </c>
      <c r="E38" s="178">
        <v>0</v>
      </c>
      <c r="F38" s="179">
        <v>0</v>
      </c>
      <c r="G38" s="180">
        <v>0</v>
      </c>
      <c r="H38" s="180">
        <v>0</v>
      </c>
      <c r="I38" s="180">
        <v>0</v>
      </c>
      <c r="J38" s="180">
        <v>0</v>
      </c>
      <c r="K38" s="180"/>
      <c r="L38" s="181">
        <v>0</v>
      </c>
      <c r="M38" s="181">
        <v>0</v>
      </c>
      <c r="N38" s="182"/>
      <c r="O38" s="180">
        <v>39</v>
      </c>
      <c r="P38" s="181">
        <v>4.7400473271849845E-05</v>
      </c>
      <c r="Q38" s="181">
        <v>0.7384615384615385</v>
      </c>
      <c r="R38" s="61"/>
    </row>
    <row r="39" ht="15" customHeight="1">
      <c r="B39" s="12"/>
      <c r="C39" s="139" t="s">
        <v>8</v>
      </c>
      <c r="D39" s="140"/>
      <c r="E39" s="128">
        <v>2257</v>
      </c>
      <c r="F39" s="129">
        <v>30.917808219178081</v>
      </c>
      <c r="G39" s="130">
        <v>43167.900000000067</v>
      </c>
      <c r="H39" s="130">
        <v>20534.21000000001</v>
      </c>
      <c r="I39" s="130">
        <v>0</v>
      </c>
      <c r="J39" s="130">
        <v>16855.279999999981</v>
      </c>
      <c r="K39" s="130">
        <v>7.468001772264059</v>
      </c>
      <c r="L39" s="131">
        <v>1.0000000000000011</v>
      </c>
      <c r="M39" s="131">
        <v>0.86614104461880082</v>
      </c>
      <c r="N39" s="138"/>
      <c r="O39" s="130">
        <v>4.6795199488126045</v>
      </c>
      <c r="P39" s="131">
        <v>1</v>
      </c>
      <c r="Q39" s="131">
        <v>0.93224282505416611</v>
      </c>
      <c r="R39" s="61"/>
    </row>
    <row r="40" ht="15" customHeight="1">
      <c r="B40" s="12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23"/>
      <c r="Q40" s="23"/>
      <c r="R40" s="61"/>
    </row>
    <row r="41" ht="15" customHeight="1">
      <c r="B41" s="12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23"/>
      <c r="Q41" s="23"/>
      <c r="R41" s="61"/>
    </row>
    <row r="42" ht="15" customHeight="1">
      <c r="B42" s="12"/>
      <c r="C42" s="140" t="s">
        <v>275</v>
      </c>
      <c r="D42" s="140"/>
      <c r="E42" s="4"/>
      <c r="F42" s="4"/>
      <c r="G42" s="4"/>
      <c r="H42" s="159">
        <v>0.5492</v>
      </c>
      <c r="I42" s="159">
        <v>0</v>
      </c>
      <c r="J42" s="159">
        <v>0.4508</v>
      </c>
      <c r="K42" s="4"/>
      <c r="L42" s="4"/>
      <c r="M42" s="4"/>
      <c r="N42" s="4"/>
      <c r="O42" s="4"/>
      <c r="P42" s="23"/>
      <c r="Q42" s="23"/>
      <c r="R42" s="61"/>
    </row>
    <row r="43" ht="15" customHeight="1">
      <c r="B43" s="12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23"/>
      <c r="Q43" s="23"/>
      <c r="R43" s="61"/>
    </row>
    <row r="44" ht="15" customHeight="1">
      <c r="B44" s="12"/>
      <c r="C44" s="140" t="s">
        <v>276</v>
      </c>
      <c r="D44" s="140"/>
      <c r="E44" s="4"/>
      <c r="F44" s="4"/>
      <c r="G44" s="130">
        <v>591.34</v>
      </c>
      <c r="H44" s="130">
        <v>281.29</v>
      </c>
      <c r="I44" s="130">
        <v>0</v>
      </c>
      <c r="J44" s="130">
        <v>230.89</v>
      </c>
      <c r="K44" s="4"/>
      <c r="L44" s="4"/>
      <c r="M44" s="4"/>
      <c r="N44" s="4"/>
      <c r="O44" s="4"/>
      <c r="P44" s="23"/>
      <c r="Q44" s="23"/>
      <c r="R44" s="61"/>
    </row>
    <row r="45" ht="15" customHeight="1">
      <c r="B45" s="12"/>
      <c r="C45" s="140" t="s">
        <v>277</v>
      </c>
      <c r="D45" s="140"/>
      <c r="E45" s="4"/>
      <c r="F45" s="4"/>
      <c r="G45" s="130">
        <v>1308.12</v>
      </c>
      <c r="H45" s="130">
        <v>622.25</v>
      </c>
      <c r="I45" s="130">
        <v>0</v>
      </c>
      <c r="J45" s="130">
        <v>510.77</v>
      </c>
      <c r="K45" s="4"/>
      <c r="L45" s="4"/>
      <c r="M45" s="4"/>
      <c r="N45" s="4"/>
      <c r="O45" s="4"/>
      <c r="P45" s="23"/>
      <c r="Q45" s="23"/>
      <c r="R45" s="61"/>
    </row>
    <row r="46" ht="15" customHeight="1">
      <c r="B46" s="12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23"/>
      <c r="Q46" s="23"/>
      <c r="R46" s="61"/>
    </row>
    <row r="47" ht="15" customHeight="1">
      <c r="B47" s="12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23"/>
      <c r="Q47" s="23"/>
      <c r="R47" s="61"/>
    </row>
    <row r="48" ht="12" customHeight="1">
      <c r="B48" s="13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2"/>
      <c r="Q48" s="142"/>
      <c r="R48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  <pageSetUpPr fitToPage="1"/>
  </sheetPr>
  <dimension ref="A1:V39"/>
  <sheetViews>
    <sheetView showGridLines="0" zoomScale="55" zoomScaleNormal="55" workbookViewId="0">
      <selection activeCell="A36" sqref="A36:XFD36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width="21.42578125" customWidth="1"/>
    <col min="6" max="6" width="21.42578125" customWidth="1"/>
    <col min="7" max="7" width="26.7109375" customWidth="1" style="145"/>
    <col min="8" max="8" width="14.28515625" customWidth="1"/>
    <col min="9" max="9" width="14.28515625" customWidth="1"/>
    <col min="10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49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150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64" t="s">
        <v>365</v>
      </c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6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29.25" customHeight="1">
      <c r="B12" s="12"/>
      <c r="C12" s="44"/>
      <c r="D12" s="44"/>
      <c r="E12" s="148" t="s">
        <v>270</v>
      </c>
      <c r="I12" s="44"/>
      <c r="M12" s="44"/>
      <c r="N12" s="42"/>
      <c r="R12" s="61"/>
    </row>
    <row r="13" ht="15.75">
      <c r="B13" s="12"/>
      <c r="C13" s="44"/>
      <c r="D13" s="44"/>
      <c r="E13" s="44"/>
      <c r="I13" s="44"/>
      <c r="J13" s="44"/>
      <c r="K13" s="44"/>
      <c r="L13" s="44"/>
      <c r="M13" s="44"/>
      <c r="N13" s="42"/>
      <c r="R13" s="61"/>
    </row>
    <row r="14" ht="45" customHeight="1">
      <c r="B14" s="12"/>
      <c r="C14" s="44"/>
      <c r="D14" s="44"/>
      <c r="E14" s="148">
        <v>2022</v>
      </c>
      <c r="I14" s="44"/>
      <c r="J14" s="44"/>
      <c r="K14" s="44"/>
      <c r="L14" s="42"/>
      <c r="R14" s="61"/>
    </row>
    <row r="15" ht="15" customHeight="1">
      <c r="B15" s="12"/>
      <c r="C15" s="136" t="s">
        <v>67</v>
      </c>
      <c r="D15" s="137"/>
      <c r="E15" s="65">
        <v>9606.92</v>
      </c>
      <c r="F15" s="44"/>
      <c r="G15" s="44"/>
      <c r="H15" s="44"/>
      <c r="I15" s="44"/>
      <c r="J15" s="44"/>
      <c r="K15" s="44"/>
      <c r="L15" s="138"/>
      <c r="R15" s="61"/>
      <c r="T15" s="207"/>
    </row>
    <row r="16" ht="15" customHeight="1">
      <c r="B16" s="12"/>
      <c r="C16" s="176"/>
      <c r="D16" s="177" t="s">
        <v>297</v>
      </c>
      <c r="E16" s="178">
        <v>7076.92</v>
      </c>
      <c r="F16" s="208"/>
      <c r="G16" s="208"/>
      <c r="H16" s="208"/>
      <c r="I16" s="208"/>
      <c r="J16" s="208"/>
      <c r="K16" s="208"/>
      <c r="L16" s="182"/>
      <c r="M16" s="69"/>
      <c r="N16" s="69"/>
      <c r="O16" s="69"/>
      <c r="P16" s="69"/>
      <c r="Q16" s="69"/>
      <c r="R16" s="61"/>
      <c r="T16" s="207"/>
    </row>
    <row r="17" ht="15" customHeight="1">
      <c r="B17" s="12"/>
      <c r="C17" s="176"/>
      <c r="D17" s="177" t="s">
        <v>299</v>
      </c>
      <c r="E17" s="178">
        <v>2530</v>
      </c>
      <c r="F17" s="208"/>
      <c r="G17" s="208"/>
      <c r="H17" s="208"/>
      <c r="I17" s="208"/>
      <c r="J17" s="208"/>
      <c r="K17" s="208"/>
      <c r="L17" s="182"/>
      <c r="M17" s="69"/>
      <c r="N17" s="69"/>
      <c r="O17" s="69"/>
      <c r="P17" s="69"/>
      <c r="Q17" s="69"/>
      <c r="R17" s="61"/>
      <c r="T17" s="207"/>
    </row>
    <row r="18" ht="15" customHeight="1">
      <c r="B18" s="12"/>
      <c r="C18" s="136" t="s">
        <v>98</v>
      </c>
      <c r="D18" s="137"/>
      <c r="E18" s="65">
        <v>2492.61</v>
      </c>
      <c r="F18" s="44"/>
      <c r="G18" s="44"/>
      <c r="H18" s="44"/>
      <c r="I18" s="44"/>
      <c r="J18" s="44"/>
      <c r="K18" s="44"/>
      <c r="L18" s="138"/>
      <c r="R18" s="61"/>
      <c r="T18" s="207"/>
    </row>
    <row r="19" ht="15" customHeight="1">
      <c r="B19" s="12"/>
      <c r="C19" s="176"/>
      <c r="D19" s="177" t="s">
        <v>101</v>
      </c>
      <c r="E19" s="178">
        <v>60</v>
      </c>
      <c r="F19" s="208"/>
      <c r="G19" s="208"/>
      <c r="H19" s="208"/>
      <c r="I19" s="208"/>
      <c r="J19" s="208"/>
      <c r="K19" s="208"/>
      <c r="L19" s="182"/>
      <c r="M19" s="69"/>
      <c r="N19" s="69"/>
      <c r="O19" s="69"/>
      <c r="P19" s="69"/>
      <c r="Q19" s="69"/>
      <c r="R19" s="61"/>
      <c r="T19" s="207"/>
    </row>
    <row r="20" ht="15" customHeight="1">
      <c r="B20" s="12"/>
      <c r="C20" s="176"/>
      <c r="D20" s="177" t="s">
        <v>303</v>
      </c>
      <c r="E20" s="178">
        <v>72</v>
      </c>
      <c r="F20" s="208"/>
      <c r="G20" s="208"/>
      <c r="H20" s="208"/>
      <c r="I20" s="208"/>
      <c r="J20" s="208"/>
      <c r="K20" s="208"/>
      <c r="L20" s="182"/>
      <c r="M20" s="69"/>
      <c r="N20" s="69"/>
      <c r="O20" s="69"/>
      <c r="P20" s="69"/>
      <c r="Q20" s="69"/>
      <c r="R20" s="61"/>
      <c r="T20" s="207"/>
    </row>
    <row r="21" ht="15" customHeight="1">
      <c r="B21" s="12"/>
      <c r="C21" s="176"/>
      <c r="D21" s="177" t="s">
        <v>304</v>
      </c>
      <c r="E21" s="178">
        <v>30.04</v>
      </c>
      <c r="F21" s="208"/>
      <c r="G21" s="208"/>
      <c r="H21" s="208"/>
      <c r="I21" s="208"/>
      <c r="J21" s="208"/>
      <c r="K21" s="208"/>
      <c r="L21" s="182"/>
      <c r="M21" s="69"/>
      <c r="N21" s="69"/>
      <c r="O21" s="69"/>
      <c r="P21" s="69"/>
      <c r="Q21" s="69"/>
      <c r="R21" s="61"/>
      <c r="T21" s="207"/>
    </row>
    <row r="22" ht="15" customHeight="1">
      <c r="B22" s="12"/>
      <c r="C22" s="176"/>
      <c r="D22" s="177" t="s">
        <v>103</v>
      </c>
      <c r="E22" s="178">
        <v>2252.13</v>
      </c>
      <c r="F22" s="208"/>
      <c r="G22" s="208"/>
      <c r="H22" s="208"/>
      <c r="I22" s="208"/>
      <c r="J22" s="208"/>
      <c r="K22" s="208"/>
      <c r="L22" s="182"/>
      <c r="M22" s="69"/>
      <c r="N22" s="69"/>
      <c r="O22" s="69"/>
      <c r="P22" s="69"/>
      <c r="Q22" s="69"/>
      <c r="R22" s="61"/>
      <c r="T22" s="207"/>
    </row>
    <row r="23" ht="15" customHeight="1">
      <c r="B23" s="12"/>
      <c r="C23" s="176"/>
      <c r="D23" s="177" t="s">
        <v>104</v>
      </c>
      <c r="E23" s="178">
        <v>78.44</v>
      </c>
      <c r="F23" s="208"/>
      <c r="G23" s="208"/>
      <c r="H23" s="208"/>
      <c r="I23" s="208"/>
      <c r="J23" s="208"/>
      <c r="K23" s="208"/>
      <c r="L23" s="182"/>
      <c r="M23" s="69"/>
      <c r="N23" s="69"/>
      <c r="O23" s="69"/>
      <c r="P23" s="69"/>
      <c r="Q23" s="69"/>
      <c r="R23" s="61"/>
      <c r="T23" s="207"/>
    </row>
    <row r="24" ht="15" customHeight="1">
      <c r="B24" s="12"/>
      <c r="C24" s="136" t="s">
        <v>116</v>
      </c>
      <c r="D24" s="137"/>
      <c r="E24" s="65">
        <v>9997.58</v>
      </c>
      <c r="F24" s="44"/>
      <c r="G24" s="44"/>
      <c r="H24" s="44"/>
      <c r="I24" s="44"/>
      <c r="J24" s="44"/>
      <c r="K24" s="44"/>
      <c r="L24" s="138"/>
      <c r="R24" s="61"/>
      <c r="T24" s="207"/>
    </row>
    <row r="25" ht="15" customHeight="1">
      <c r="B25" s="12"/>
      <c r="C25" s="176"/>
      <c r="D25" s="177" t="s">
        <v>118</v>
      </c>
      <c r="E25" s="178">
        <v>729.6</v>
      </c>
      <c r="F25" s="208"/>
      <c r="G25" s="208"/>
      <c r="H25" s="208"/>
      <c r="I25" s="208"/>
      <c r="J25" s="208"/>
      <c r="K25" s="208"/>
      <c r="L25" s="182"/>
      <c r="M25" s="69"/>
      <c r="N25" s="69"/>
      <c r="O25" s="69"/>
      <c r="P25" s="69"/>
      <c r="Q25" s="69"/>
      <c r="R25" s="61"/>
      <c r="T25" s="207"/>
    </row>
    <row r="26" ht="15" customHeight="1">
      <c r="B26" s="12"/>
      <c r="C26" s="176"/>
      <c r="D26" s="177" t="s">
        <v>324</v>
      </c>
      <c r="E26" s="178">
        <v>4509.15</v>
      </c>
      <c r="F26" s="208"/>
      <c r="G26" s="208"/>
      <c r="H26" s="208"/>
      <c r="I26" s="208"/>
      <c r="J26" s="208"/>
      <c r="K26" s="208"/>
      <c r="L26" s="182"/>
      <c r="M26" s="69"/>
      <c r="N26" s="69"/>
      <c r="O26" s="69"/>
      <c r="P26" s="69"/>
      <c r="Q26" s="69"/>
      <c r="R26" s="61"/>
      <c r="T26" s="207"/>
    </row>
    <row r="27" ht="15" customHeight="1">
      <c r="B27" s="12"/>
      <c r="C27" s="176"/>
      <c r="D27" s="177" t="s">
        <v>325</v>
      </c>
      <c r="E27" s="178">
        <v>4758.83</v>
      </c>
      <c r="F27" s="208"/>
      <c r="G27" s="208"/>
      <c r="H27" s="208"/>
      <c r="I27" s="208"/>
      <c r="J27" s="208"/>
      <c r="K27" s="208"/>
      <c r="L27" s="182"/>
      <c r="M27" s="69"/>
      <c r="N27" s="69"/>
      <c r="O27" s="69"/>
      <c r="P27" s="69"/>
      <c r="Q27" s="69"/>
      <c r="R27" s="61"/>
      <c r="T27" s="207"/>
    </row>
    <row r="28" ht="15" customHeight="1">
      <c r="B28" s="12"/>
      <c r="C28" s="136" t="s">
        <v>129</v>
      </c>
      <c r="D28" s="137"/>
      <c r="E28" s="65">
        <v>1574</v>
      </c>
      <c r="F28" s="44"/>
      <c r="G28" s="44"/>
      <c r="H28" s="44"/>
      <c r="I28" s="44"/>
      <c r="J28" s="44"/>
      <c r="K28" s="44"/>
      <c r="L28" s="138"/>
      <c r="R28" s="61"/>
      <c r="T28" s="207"/>
    </row>
    <row r="29" ht="15" customHeight="1">
      <c r="B29" s="12"/>
      <c r="C29" s="176"/>
      <c r="D29" s="177" t="s">
        <v>61</v>
      </c>
      <c r="E29" s="178">
        <v>1574</v>
      </c>
      <c r="F29" s="208"/>
      <c r="G29" s="208"/>
      <c r="H29" s="208"/>
      <c r="I29" s="208"/>
      <c r="J29" s="208"/>
      <c r="K29" s="208"/>
      <c r="L29" s="182"/>
      <c r="M29" s="69"/>
      <c r="N29" s="69"/>
      <c r="O29" s="69"/>
      <c r="P29" s="69"/>
      <c r="Q29" s="69"/>
      <c r="R29" s="61"/>
      <c r="T29" s="207"/>
    </row>
    <row r="30" ht="15" customHeight="1">
      <c r="B30" s="12"/>
      <c r="C30" s="136" t="s">
        <v>131</v>
      </c>
      <c r="D30" s="137"/>
      <c r="E30" s="65">
        <v>16855.279999999981</v>
      </c>
      <c r="F30" s="44"/>
      <c r="G30" s="44"/>
      <c r="H30" s="44"/>
      <c r="I30" s="44"/>
      <c r="J30" s="44"/>
      <c r="K30" s="44"/>
      <c r="L30" s="138"/>
      <c r="R30" s="61"/>
      <c r="T30" s="207"/>
    </row>
    <row r="31" ht="15" customHeight="1">
      <c r="B31" s="12"/>
      <c r="C31" s="176"/>
      <c r="D31" s="177" t="s">
        <v>134</v>
      </c>
      <c r="E31" s="178">
        <v>1137.55</v>
      </c>
      <c r="F31" s="208"/>
      <c r="G31" s="208"/>
      <c r="H31" s="208"/>
      <c r="I31" s="208"/>
      <c r="J31" s="208"/>
      <c r="K31" s="208"/>
      <c r="L31" s="182"/>
      <c r="M31" s="69"/>
      <c r="N31" s="69"/>
      <c r="O31" s="69"/>
      <c r="P31" s="69"/>
      <c r="Q31" s="69"/>
      <c r="R31" s="61"/>
      <c r="T31" s="207"/>
    </row>
    <row r="32" ht="15" customHeight="1">
      <c r="B32" s="12"/>
      <c r="C32" s="176"/>
      <c r="D32" s="177" t="s">
        <v>282</v>
      </c>
      <c r="E32" s="178">
        <v>508.42</v>
      </c>
      <c r="F32" s="208"/>
      <c r="G32" s="208"/>
      <c r="H32" s="208"/>
      <c r="I32" s="208"/>
      <c r="J32" s="208"/>
      <c r="K32" s="208"/>
      <c r="L32" s="182"/>
      <c r="M32" s="69"/>
      <c r="N32" s="69"/>
      <c r="O32" s="69"/>
      <c r="P32" s="69"/>
      <c r="Q32" s="69"/>
      <c r="R32" s="61"/>
      <c r="T32" s="207"/>
    </row>
    <row r="33" ht="15" customHeight="1">
      <c r="B33" s="12"/>
      <c r="C33" s="176"/>
      <c r="D33" s="177" t="s">
        <v>135</v>
      </c>
      <c r="E33" s="178">
        <v>3349.88</v>
      </c>
      <c r="F33" s="208"/>
      <c r="G33" s="208"/>
      <c r="H33" s="208"/>
      <c r="I33" s="208"/>
      <c r="J33" s="208"/>
      <c r="K33" s="208"/>
      <c r="L33" s="182"/>
      <c r="M33" s="69"/>
      <c r="N33" s="69"/>
      <c r="O33" s="69"/>
      <c r="P33" s="69"/>
      <c r="Q33" s="69"/>
      <c r="R33" s="61"/>
      <c r="T33" s="207"/>
    </row>
    <row r="34" ht="15" customHeight="1">
      <c r="B34" s="12"/>
      <c r="C34" s="176"/>
      <c r="D34" s="177" t="s">
        <v>165</v>
      </c>
      <c r="E34" s="178">
        <v>9655.72999999998</v>
      </c>
      <c r="F34" s="208"/>
      <c r="G34" s="208"/>
      <c r="H34" s="208"/>
      <c r="I34" s="208"/>
      <c r="J34" s="208"/>
      <c r="K34" s="208"/>
      <c r="L34" s="182"/>
      <c r="M34" s="69"/>
      <c r="N34" s="69"/>
      <c r="O34" s="69"/>
      <c r="P34" s="69"/>
      <c r="Q34" s="69"/>
      <c r="R34" s="61"/>
      <c r="T34" s="207"/>
    </row>
    <row r="35" ht="15" customHeight="1">
      <c r="B35" s="12"/>
      <c r="C35" s="176"/>
      <c r="D35" s="177" t="s">
        <v>128</v>
      </c>
      <c r="E35" s="178">
        <v>2203.7</v>
      </c>
      <c r="F35" s="208"/>
      <c r="G35" s="208"/>
      <c r="H35" s="208"/>
      <c r="I35" s="208"/>
      <c r="J35" s="208"/>
      <c r="K35" s="208"/>
      <c r="L35" s="182"/>
      <c r="M35" s="69"/>
      <c r="N35" s="69"/>
      <c r="O35" s="69"/>
      <c r="P35" s="69"/>
      <c r="Q35" s="69"/>
      <c r="R35" s="61"/>
      <c r="T35" s="207"/>
    </row>
    <row r="36" ht="15" customHeight="1">
      <c r="B36" s="12"/>
      <c r="C36" s="139" t="s">
        <v>8</v>
      </c>
      <c r="D36" s="140"/>
      <c r="E36" s="209">
        <v>40526.389999999985</v>
      </c>
      <c r="F36" s="44"/>
      <c r="G36" s="44"/>
      <c r="H36" s="44"/>
      <c r="I36" s="44"/>
      <c r="J36" s="44"/>
      <c r="K36" s="44"/>
      <c r="L36" s="138"/>
      <c r="R36" s="61"/>
    </row>
    <row r="37" ht="15" customHeight="1">
      <c r="B37" s="12"/>
      <c r="C37" s="4"/>
      <c r="D37" s="23"/>
      <c r="E37" s="210"/>
      <c r="F37" s="23"/>
      <c r="G37" s="210"/>
      <c r="H37" s="44"/>
      <c r="I37" s="44"/>
      <c r="J37" s="44"/>
      <c r="K37" s="44"/>
      <c r="L37" s="44"/>
      <c r="M37" s="44"/>
      <c r="N37" s="23"/>
      <c r="O37" s="23"/>
      <c r="P37" s="23"/>
      <c r="Q37" s="23"/>
      <c r="R37" s="61"/>
    </row>
    <row r="38" ht="15" customHeight="1">
      <c r="B38" s="12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23"/>
      <c r="Q38" s="23"/>
      <c r="R38" s="61"/>
    </row>
    <row r="39" ht="12" customHeight="1">
      <c r="B39" s="13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2"/>
      <c r="Q39" s="142"/>
      <c r="R39" s="62"/>
    </row>
  </sheetData>
  <mergeCells>
    <mergeCell ref="C8:Q8"/>
  </mergeCells>
  <pageMargins left="0.70866141732283472" right="0.70866141732283472" top="0.74803149606299213" bottom="0.74803149606299213" header="0.31496062992125984" footer="0.31496062992125984"/>
  <pageSetup paperSize="9" scale="36" orientation="portrait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  <pageSetUpPr fitToPage="1"/>
  </sheetPr>
  <dimension ref="A1:V114"/>
  <sheetViews>
    <sheetView showGridLines="0" topLeftCell="C1" zoomScale="70" zoomScaleNormal="70" workbookViewId="0">
      <selection activeCell="A98" sqref="A98:XFD98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6.28515625" customWidth="1"/>
    <col min="8" max="8" width="16.28515625" customWidth="1"/>
    <col min="9" max="9" width="16.28515625" customWidth="1"/>
    <col min="10" max="10" width="16.28515625" customWidth="1"/>
    <col min="11" max="11" width="16.28515625" customWidth="1"/>
    <col min="12" max="12" width="16.28515625" customWidth="1"/>
    <col min="13" max="13" width="10.7109375" customWidth="1"/>
    <col min="14" max="14" width="1.42578125" customWidth="1"/>
    <col min="15" max="15" width="15.28515625" customWidth="1"/>
    <col min="16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60000016 - 60000017 - 60000018 - 60000087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>
      <c r="B11" s="12"/>
      <c r="R11" s="61"/>
    </row>
    <row r="12" ht="15.75">
      <c r="B12" s="12"/>
      <c r="C12" s="44"/>
      <c r="D12" s="44"/>
      <c r="E12" s="259" t="s">
        <v>353</v>
      </c>
      <c r="F12" s="260"/>
      <c r="G12" s="260"/>
      <c r="H12" s="260"/>
      <c r="I12" s="260"/>
      <c r="J12" s="260"/>
      <c r="K12" s="260"/>
      <c r="L12" s="260"/>
      <c r="M12" s="261"/>
      <c r="N12" s="42"/>
      <c r="O12" s="259" t="s">
        <v>264</v>
      </c>
      <c r="P12" s="260"/>
      <c r="Q12" s="26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174" t="s">
        <v>354</v>
      </c>
      <c r="K13" s="44"/>
      <c r="L13" s="44"/>
      <c r="M13" s="44"/>
      <c r="N13" s="42"/>
      <c r="O13" s="44"/>
      <c r="P13" s="174" t="s">
        <v>355</v>
      </c>
      <c r="Q13" s="174" t="s">
        <v>356</v>
      </c>
      <c r="R13" s="61"/>
    </row>
    <row r="14" ht="45" customHeight="1">
      <c r="B14" s="12"/>
      <c r="C14" s="44"/>
      <c r="D14" s="44"/>
      <c r="E14" s="125" t="s">
        <v>265</v>
      </c>
      <c r="F14" s="125" t="s">
        <v>266</v>
      </c>
      <c r="G14" s="125" t="s">
        <v>357</v>
      </c>
      <c r="H14" s="125" t="s">
        <v>358</v>
      </c>
      <c r="I14" s="125" t="s">
        <v>359</v>
      </c>
      <c r="J14" s="125" t="s">
        <v>360</v>
      </c>
      <c r="K14" s="162" t="s">
        <v>361</v>
      </c>
      <c r="L14" s="162" t="s">
        <v>362</v>
      </c>
      <c r="M14" s="127"/>
      <c r="N14" s="42"/>
      <c r="O14" s="125" t="s">
        <v>357</v>
      </c>
      <c r="P14" s="146" t="s">
        <v>363</v>
      </c>
      <c r="Q14" s="175" t="s">
        <v>364</v>
      </c>
      <c r="R14" s="61"/>
    </row>
    <row r="15" ht="15" customHeight="1">
      <c r="B15" s="12"/>
      <c r="C15" s="136" t="s">
        <v>281</v>
      </c>
      <c r="D15" s="137"/>
      <c r="E15" s="65">
        <v>0</v>
      </c>
      <c r="F15" s="74">
        <v>0</v>
      </c>
      <c r="G15" s="211"/>
      <c r="H15" s="211">
        <v>0</v>
      </c>
      <c r="I15" s="211">
        <v>0</v>
      </c>
      <c r="J15" s="211">
        <v>0</v>
      </c>
      <c r="K15" s="211">
        <v>0</v>
      </c>
      <c r="L15" s="211">
        <v>0</v>
      </c>
      <c r="M15" s="67"/>
      <c r="N15" s="138"/>
      <c r="O15" s="211">
        <v>135.96761166818592</v>
      </c>
      <c r="P15" s="211">
        <v>65.2403646308113</v>
      </c>
      <c r="Q15" s="212">
        <v>-1</v>
      </c>
      <c r="R15" s="61"/>
      <c r="T15" s="207"/>
    </row>
    <row r="16" ht="15" customHeight="1">
      <c r="B16" s="12"/>
      <c r="C16" s="176"/>
      <c r="D16" s="177" t="s">
        <v>282</v>
      </c>
      <c r="E16" s="178">
        <v>0</v>
      </c>
      <c r="F16" s="179">
        <v>0</v>
      </c>
      <c r="G16" s="213"/>
      <c r="H16" s="213">
        <v>0</v>
      </c>
      <c r="I16" s="213">
        <v>0</v>
      </c>
      <c r="J16" s="213">
        <v>0</v>
      </c>
      <c r="K16" s="213">
        <v>0</v>
      </c>
      <c r="L16" s="213">
        <v>0</v>
      </c>
      <c r="M16" s="181"/>
      <c r="N16" s="182"/>
      <c r="O16" s="213">
        <v>35.289876416065894</v>
      </c>
      <c r="P16" s="213">
        <v>13.346117404737377</v>
      </c>
      <c r="Q16" s="214">
        <v>-1</v>
      </c>
      <c r="R16" s="61"/>
      <c r="T16" s="207"/>
    </row>
    <row r="17" ht="15" customHeight="1">
      <c r="B17" s="12"/>
      <c r="C17" s="176"/>
      <c r="D17" s="177" t="s">
        <v>283</v>
      </c>
      <c r="E17" s="178">
        <v>0</v>
      </c>
      <c r="F17" s="179">
        <v>0</v>
      </c>
      <c r="G17" s="213"/>
      <c r="H17" s="213">
        <v>0</v>
      </c>
      <c r="I17" s="213">
        <v>0</v>
      </c>
      <c r="J17" s="213">
        <v>0</v>
      </c>
      <c r="K17" s="213">
        <v>0</v>
      </c>
      <c r="L17" s="213">
        <v>0</v>
      </c>
      <c r="M17" s="181"/>
      <c r="N17" s="182"/>
      <c r="O17" s="213">
        <v>15.23076923076923</v>
      </c>
      <c r="P17" s="213">
        <v>0.73846153846153828</v>
      </c>
      <c r="Q17" s="214">
        <v>-1</v>
      </c>
      <c r="R17" s="61"/>
      <c r="T17" s="207"/>
    </row>
    <row r="18" ht="15" customHeight="1">
      <c r="B18" s="12"/>
      <c r="C18" s="176"/>
      <c r="D18" s="177" t="s">
        <v>284</v>
      </c>
      <c r="E18" s="178">
        <v>0</v>
      </c>
      <c r="F18" s="179">
        <v>0</v>
      </c>
      <c r="G18" s="213"/>
      <c r="H18" s="213">
        <v>0</v>
      </c>
      <c r="I18" s="213">
        <v>0</v>
      </c>
      <c r="J18" s="213">
        <v>0</v>
      </c>
      <c r="K18" s="213">
        <v>0</v>
      </c>
      <c r="L18" s="213">
        <v>0</v>
      </c>
      <c r="M18" s="181"/>
      <c r="N18" s="182"/>
      <c r="O18" s="213">
        <v>950</v>
      </c>
      <c r="P18" s="213">
        <v>630</v>
      </c>
      <c r="Q18" s="214">
        <v>-1</v>
      </c>
      <c r="R18" s="61"/>
      <c r="T18" s="207"/>
    </row>
    <row r="19" ht="15" customHeight="1">
      <c r="B19" s="12"/>
      <c r="C19" s="176"/>
      <c r="D19" s="177" t="s">
        <v>285</v>
      </c>
      <c r="E19" s="178">
        <v>0</v>
      </c>
      <c r="F19" s="179">
        <v>0</v>
      </c>
      <c r="G19" s="213"/>
      <c r="H19" s="213">
        <v>0</v>
      </c>
      <c r="I19" s="213">
        <v>0</v>
      </c>
      <c r="J19" s="213">
        <v>0</v>
      </c>
      <c r="K19" s="213">
        <v>0</v>
      </c>
      <c r="L19" s="213">
        <v>0</v>
      </c>
      <c r="M19" s="181"/>
      <c r="N19" s="182"/>
      <c r="O19" s="213">
        <v>665.66666666666663</v>
      </c>
      <c r="P19" s="213">
        <v>253.33333333333334</v>
      </c>
      <c r="Q19" s="214">
        <v>-1</v>
      </c>
      <c r="R19" s="61"/>
      <c r="T19" s="207"/>
    </row>
    <row r="20" ht="15" customHeight="1">
      <c r="B20" s="12"/>
      <c r="C20" s="176"/>
      <c r="D20" s="177" t="s">
        <v>286</v>
      </c>
      <c r="E20" s="178">
        <v>0</v>
      </c>
      <c r="F20" s="179">
        <v>0</v>
      </c>
      <c r="G20" s="213"/>
      <c r="H20" s="213">
        <v>0</v>
      </c>
      <c r="I20" s="213">
        <v>0</v>
      </c>
      <c r="J20" s="213">
        <v>0</v>
      </c>
      <c r="K20" s="213">
        <v>0</v>
      </c>
      <c r="L20" s="213">
        <v>0</v>
      </c>
      <c r="M20" s="181"/>
      <c r="N20" s="182"/>
      <c r="O20" s="213">
        <v>706.969696969697</v>
      </c>
      <c r="P20" s="213">
        <v>304.84848484848487</v>
      </c>
      <c r="Q20" s="214">
        <v>-1</v>
      </c>
      <c r="R20" s="61"/>
      <c r="T20" s="207"/>
    </row>
    <row r="21" ht="15" customHeight="1">
      <c r="B21" s="12"/>
      <c r="C21" s="176"/>
      <c r="D21" s="177" t="s">
        <v>63</v>
      </c>
      <c r="E21" s="178">
        <v>0</v>
      </c>
      <c r="F21" s="179">
        <v>0</v>
      </c>
      <c r="G21" s="213"/>
      <c r="H21" s="213">
        <v>0</v>
      </c>
      <c r="I21" s="213">
        <v>0</v>
      </c>
      <c r="J21" s="213">
        <v>0</v>
      </c>
      <c r="K21" s="213">
        <v>0</v>
      </c>
      <c r="L21" s="213">
        <v>0</v>
      </c>
      <c r="M21" s="181"/>
      <c r="N21" s="182"/>
      <c r="O21" s="213">
        <v>1447.75</v>
      </c>
      <c r="P21" s="213">
        <v>826.66666666666663</v>
      </c>
      <c r="Q21" s="214">
        <v>-1</v>
      </c>
      <c r="R21" s="61"/>
      <c r="T21" s="207"/>
    </row>
    <row r="22" ht="15" customHeight="1">
      <c r="B22" s="12"/>
      <c r="C22" s="136" t="s">
        <v>55</v>
      </c>
      <c r="D22" s="137"/>
      <c r="E22" s="65">
        <v>0</v>
      </c>
      <c r="F22" s="74">
        <v>0</v>
      </c>
      <c r="G22" s="211"/>
      <c r="H22" s="211">
        <v>0</v>
      </c>
      <c r="I22" s="211">
        <v>0</v>
      </c>
      <c r="J22" s="211">
        <v>0</v>
      </c>
      <c r="K22" s="211">
        <v>0</v>
      </c>
      <c r="L22" s="211">
        <v>0</v>
      </c>
      <c r="M22" s="67"/>
      <c r="N22" s="138"/>
      <c r="O22" s="211">
        <v>164.53156862745098</v>
      </c>
      <c r="P22" s="211">
        <v>120.60686274509804</v>
      </c>
      <c r="Q22" s="212">
        <v>-1</v>
      </c>
      <c r="R22" s="61"/>
      <c r="T22" s="207"/>
    </row>
    <row r="23" ht="15" customHeight="1">
      <c r="B23" s="12"/>
      <c r="C23" s="176"/>
      <c r="D23" s="177" t="s">
        <v>278</v>
      </c>
      <c r="E23" s="178">
        <v>0</v>
      </c>
      <c r="F23" s="179">
        <v>0</v>
      </c>
      <c r="G23" s="213"/>
      <c r="H23" s="213">
        <v>0</v>
      </c>
      <c r="I23" s="213">
        <v>0</v>
      </c>
      <c r="J23" s="213">
        <v>0</v>
      </c>
      <c r="K23" s="213">
        <v>0</v>
      </c>
      <c r="L23" s="213">
        <v>0</v>
      </c>
      <c r="M23" s="181"/>
      <c r="N23" s="182"/>
      <c r="O23" s="213">
        <v>15</v>
      </c>
      <c r="P23" s="213">
        <v>4.5</v>
      </c>
      <c r="Q23" s="214">
        <v>-1</v>
      </c>
      <c r="R23" s="61"/>
      <c r="T23" s="207"/>
    </row>
    <row r="24" ht="15" customHeight="1">
      <c r="B24" s="12"/>
      <c r="C24" s="176"/>
      <c r="D24" s="177" t="s">
        <v>60</v>
      </c>
      <c r="E24" s="178">
        <v>0</v>
      </c>
      <c r="F24" s="179">
        <v>0</v>
      </c>
      <c r="G24" s="213"/>
      <c r="H24" s="213">
        <v>0</v>
      </c>
      <c r="I24" s="213">
        <v>0</v>
      </c>
      <c r="J24" s="213">
        <v>0</v>
      </c>
      <c r="K24" s="213">
        <v>0</v>
      </c>
      <c r="L24" s="213">
        <v>0</v>
      </c>
      <c r="M24" s="181"/>
      <c r="N24" s="182"/>
      <c r="O24" s="213">
        <v>750</v>
      </c>
      <c r="P24" s="213">
        <v>500</v>
      </c>
      <c r="Q24" s="214">
        <v>-1</v>
      </c>
      <c r="R24" s="61"/>
      <c r="T24" s="207"/>
    </row>
    <row r="25" ht="15" customHeight="1">
      <c r="B25" s="12"/>
      <c r="C25" s="176"/>
      <c r="D25" s="177" t="s">
        <v>279</v>
      </c>
      <c r="E25" s="178">
        <v>0</v>
      </c>
      <c r="F25" s="179">
        <v>0</v>
      </c>
      <c r="G25" s="213"/>
      <c r="H25" s="213">
        <v>0</v>
      </c>
      <c r="I25" s="213">
        <v>0</v>
      </c>
      <c r="J25" s="213">
        <v>0</v>
      </c>
      <c r="K25" s="213">
        <v>0</v>
      </c>
      <c r="L25" s="213">
        <v>0</v>
      </c>
      <c r="M25" s="181"/>
      <c r="N25" s="182"/>
      <c r="O25" s="213">
        <v>1818.95</v>
      </c>
      <c r="P25" s="213">
        <v>363.79</v>
      </c>
      <c r="Q25" s="214">
        <v>-1</v>
      </c>
      <c r="R25" s="61"/>
      <c r="T25" s="207"/>
    </row>
    <row r="26" ht="15" customHeight="1">
      <c r="B26" s="12"/>
      <c r="C26" s="176"/>
      <c r="D26" s="177" t="s">
        <v>111</v>
      </c>
      <c r="E26" s="178">
        <v>0</v>
      </c>
      <c r="F26" s="179">
        <v>0</v>
      </c>
      <c r="G26" s="213"/>
      <c r="H26" s="213">
        <v>0</v>
      </c>
      <c r="I26" s="213">
        <v>0</v>
      </c>
      <c r="J26" s="213">
        <v>0</v>
      </c>
      <c r="K26" s="213">
        <v>0</v>
      </c>
      <c r="L26" s="213">
        <v>0</v>
      </c>
      <c r="M26" s="181"/>
      <c r="N26" s="182"/>
      <c r="O26" s="213">
        <v>58.611111111111114</v>
      </c>
      <c r="P26" s="213">
        <v>53.611111111111114</v>
      </c>
      <c r="Q26" s="214">
        <v>-1</v>
      </c>
      <c r="R26" s="61"/>
      <c r="T26" s="207"/>
    </row>
    <row r="27" ht="15" customHeight="1">
      <c r="B27" s="12"/>
      <c r="C27" s="176"/>
      <c r="D27" s="177" t="s">
        <v>280</v>
      </c>
      <c r="E27" s="178">
        <v>0</v>
      </c>
      <c r="F27" s="179">
        <v>0</v>
      </c>
      <c r="G27" s="213"/>
      <c r="H27" s="213">
        <v>0</v>
      </c>
      <c r="I27" s="213">
        <v>0</v>
      </c>
      <c r="J27" s="213">
        <v>0</v>
      </c>
      <c r="K27" s="213">
        <v>0</v>
      </c>
      <c r="L27" s="213">
        <v>0</v>
      </c>
      <c r="M27" s="181"/>
      <c r="N27" s="182"/>
      <c r="O27" s="213">
        <v>1406.0800000000002</v>
      </c>
      <c r="P27" s="213">
        <v>1406.0800000000002</v>
      </c>
      <c r="Q27" s="214">
        <v>-1</v>
      </c>
      <c r="R27" s="61"/>
      <c r="T27" s="207"/>
    </row>
    <row r="28" ht="15" customHeight="1">
      <c r="B28" s="12"/>
      <c r="C28" s="136" t="s">
        <v>274</v>
      </c>
      <c r="D28" s="137"/>
      <c r="E28" s="65">
        <v>0</v>
      </c>
      <c r="F28" s="74">
        <v>0</v>
      </c>
      <c r="G28" s="211"/>
      <c r="H28" s="211">
        <v>0</v>
      </c>
      <c r="I28" s="211">
        <v>0</v>
      </c>
      <c r="J28" s="211">
        <v>0</v>
      </c>
      <c r="K28" s="211">
        <v>0</v>
      </c>
      <c r="L28" s="211">
        <v>0</v>
      </c>
      <c r="M28" s="67"/>
      <c r="N28" s="138"/>
      <c r="O28" s="211">
        <v>101.30193103448276</v>
      </c>
      <c r="P28" s="211">
        <v>34.215586206896553</v>
      </c>
      <c r="Q28" s="212">
        <v>-1</v>
      </c>
      <c r="R28" s="61"/>
      <c r="T28" s="207"/>
    </row>
    <row r="29" ht="15" customHeight="1">
      <c r="B29" s="12"/>
      <c r="C29" s="176"/>
      <c r="D29" s="177" t="s">
        <v>65</v>
      </c>
      <c r="E29" s="178">
        <v>0</v>
      </c>
      <c r="F29" s="179">
        <v>0</v>
      </c>
      <c r="G29" s="213"/>
      <c r="H29" s="213">
        <v>0</v>
      </c>
      <c r="I29" s="213">
        <v>0</v>
      </c>
      <c r="J29" s="213">
        <v>0</v>
      </c>
      <c r="K29" s="213">
        <v>0</v>
      </c>
      <c r="L29" s="213">
        <v>0</v>
      </c>
      <c r="M29" s="181"/>
      <c r="N29" s="182"/>
      <c r="O29" s="213">
        <v>101.30193103448276</v>
      </c>
      <c r="P29" s="213">
        <v>34.215586206896553</v>
      </c>
      <c r="Q29" s="214">
        <v>-1</v>
      </c>
      <c r="R29" s="61"/>
      <c r="T29" s="207"/>
    </row>
    <row r="30" ht="15" customHeight="1">
      <c r="B30" s="12"/>
      <c r="C30" s="136" t="s">
        <v>67</v>
      </c>
      <c r="D30" s="137"/>
      <c r="E30" s="65">
        <v>129</v>
      </c>
      <c r="F30" s="74">
        <v>1.7671232876712328</v>
      </c>
      <c r="G30" s="211">
        <v>123.18837209302325</v>
      </c>
      <c r="H30" s="211">
        <v>7.98</v>
      </c>
      <c r="I30" s="211">
        <v>850</v>
      </c>
      <c r="J30" s="211">
        <v>74.47224806201551</v>
      </c>
      <c r="K30" s="211">
        <v>2.39</v>
      </c>
      <c r="L30" s="211">
        <v>850</v>
      </c>
      <c r="M30" s="67"/>
      <c r="N30" s="138"/>
      <c r="O30" s="211">
        <v>155.92057203217684</v>
      </c>
      <c r="P30" s="211">
        <v>79.4575672381569</v>
      </c>
      <c r="Q30" s="212">
        <v>-0.0627428968405791</v>
      </c>
      <c r="R30" s="61"/>
      <c r="T30" s="207"/>
    </row>
    <row r="31" ht="15" customHeight="1">
      <c r="B31" s="12"/>
      <c r="C31" s="176"/>
      <c r="D31" s="177" t="s">
        <v>56</v>
      </c>
      <c r="E31" s="178">
        <v>0</v>
      </c>
      <c r="F31" s="179">
        <v>0</v>
      </c>
      <c r="G31" s="213"/>
      <c r="H31" s="213">
        <v>0</v>
      </c>
      <c r="I31" s="213">
        <v>0</v>
      </c>
      <c r="J31" s="213">
        <v>0</v>
      </c>
      <c r="K31" s="213">
        <v>0</v>
      </c>
      <c r="L31" s="213">
        <v>0</v>
      </c>
      <c r="M31" s="181"/>
      <c r="N31" s="182"/>
      <c r="O31" s="213">
        <v>23.521426684279838</v>
      </c>
      <c r="P31" s="213">
        <v>7.3176926464113</v>
      </c>
      <c r="Q31" s="214">
        <v>-1</v>
      </c>
      <c r="R31" s="61"/>
      <c r="T31" s="207"/>
    </row>
    <row r="32" ht="15" customHeight="1">
      <c r="B32" s="12"/>
      <c r="C32" s="176"/>
      <c r="D32" s="177" t="s">
        <v>159</v>
      </c>
      <c r="E32" s="178">
        <v>0</v>
      </c>
      <c r="F32" s="179">
        <v>0</v>
      </c>
      <c r="G32" s="213"/>
      <c r="H32" s="213">
        <v>0</v>
      </c>
      <c r="I32" s="213">
        <v>0</v>
      </c>
      <c r="J32" s="213">
        <v>0</v>
      </c>
      <c r="K32" s="213">
        <v>0</v>
      </c>
      <c r="L32" s="213">
        <v>0</v>
      </c>
      <c r="M32" s="181"/>
      <c r="N32" s="182"/>
      <c r="O32" s="213">
        <v>461.255690376569</v>
      </c>
      <c r="P32" s="213">
        <v>221.06330543933058</v>
      </c>
      <c r="Q32" s="214">
        <v>-1</v>
      </c>
      <c r="R32" s="61"/>
      <c r="T32" s="207"/>
    </row>
    <row r="33" ht="15" customHeight="1">
      <c r="B33" s="12"/>
      <c r="C33" s="176"/>
      <c r="D33" s="177" t="s">
        <v>296</v>
      </c>
      <c r="E33" s="178">
        <v>0</v>
      </c>
      <c r="F33" s="179">
        <v>0</v>
      </c>
      <c r="G33" s="213"/>
      <c r="H33" s="213">
        <v>0</v>
      </c>
      <c r="I33" s="213">
        <v>0</v>
      </c>
      <c r="J33" s="213">
        <v>0</v>
      </c>
      <c r="K33" s="213">
        <v>0</v>
      </c>
      <c r="L33" s="213">
        <v>0</v>
      </c>
      <c r="M33" s="181"/>
      <c r="N33" s="182"/>
      <c r="O33" s="213">
        <v>136.96225225225223</v>
      </c>
      <c r="P33" s="213">
        <v>66.046981981981972</v>
      </c>
      <c r="Q33" s="214">
        <v>-1</v>
      </c>
      <c r="R33" s="61"/>
      <c r="T33" s="207"/>
    </row>
    <row r="34" ht="15" customHeight="1">
      <c r="B34" s="12"/>
      <c r="C34" s="176"/>
      <c r="D34" s="177" t="s">
        <v>297</v>
      </c>
      <c r="E34" s="178">
        <v>118</v>
      </c>
      <c r="F34" s="179">
        <v>1.6164383561643836</v>
      </c>
      <c r="G34" s="213">
        <v>102.04491525423728</v>
      </c>
      <c r="H34" s="213">
        <v>7.98</v>
      </c>
      <c r="I34" s="213">
        <v>850</v>
      </c>
      <c r="J34" s="213">
        <v>59.973898305084745</v>
      </c>
      <c r="K34" s="213">
        <v>2.39</v>
      </c>
      <c r="L34" s="213">
        <v>850</v>
      </c>
      <c r="M34" s="181"/>
      <c r="N34" s="182"/>
      <c r="O34" s="213">
        <v>140.20316265522</v>
      </c>
      <c r="P34" s="213">
        <v>81.574715621645922</v>
      </c>
      <c r="Q34" s="214">
        <v>-0.26479778656862984</v>
      </c>
      <c r="R34" s="61"/>
      <c r="T34" s="207"/>
    </row>
    <row r="35" ht="15" customHeight="1">
      <c r="B35" s="12"/>
      <c r="C35" s="176"/>
      <c r="D35" s="177" t="s">
        <v>298</v>
      </c>
      <c r="E35" s="178">
        <v>0</v>
      </c>
      <c r="F35" s="179">
        <v>0</v>
      </c>
      <c r="G35" s="213"/>
      <c r="H35" s="213">
        <v>0</v>
      </c>
      <c r="I35" s="213">
        <v>0</v>
      </c>
      <c r="J35" s="213">
        <v>0</v>
      </c>
      <c r="K35" s="213">
        <v>0</v>
      </c>
      <c r="L35" s="213">
        <v>0</v>
      </c>
      <c r="M35" s="181"/>
      <c r="N35" s="182"/>
      <c r="O35" s="213">
        <v>530.32196007259529</v>
      </c>
      <c r="P35" s="213">
        <v>258.36938294010889</v>
      </c>
      <c r="Q35" s="214">
        <v>-1</v>
      </c>
      <c r="R35" s="61"/>
      <c r="T35" s="207"/>
    </row>
    <row r="36" ht="15" customHeight="1">
      <c r="B36" s="12"/>
      <c r="C36" s="176"/>
      <c r="D36" s="177" t="s">
        <v>299</v>
      </c>
      <c r="E36" s="178">
        <v>11</v>
      </c>
      <c r="F36" s="179">
        <v>0.15068493150684931</v>
      </c>
      <c r="G36" s="213">
        <v>350</v>
      </c>
      <c r="H36" s="213">
        <v>350</v>
      </c>
      <c r="I36" s="213">
        <v>350</v>
      </c>
      <c r="J36" s="213">
        <v>230</v>
      </c>
      <c r="K36" s="213">
        <v>230</v>
      </c>
      <c r="L36" s="213">
        <v>230</v>
      </c>
      <c r="M36" s="181"/>
      <c r="N36" s="182"/>
      <c r="O36" s="213">
        <v>483.62296529968449</v>
      </c>
      <c r="P36" s="213">
        <v>214.0994006309148</v>
      </c>
      <c r="Q36" s="214">
        <v>0.074267373005249</v>
      </c>
      <c r="R36" s="61"/>
      <c r="T36" s="207"/>
    </row>
    <row r="37" ht="15" customHeight="1">
      <c r="B37" s="12"/>
      <c r="C37" s="176"/>
      <c r="D37" s="177" t="s">
        <v>96</v>
      </c>
      <c r="E37" s="178">
        <v>0</v>
      </c>
      <c r="F37" s="179">
        <v>0</v>
      </c>
      <c r="G37" s="213"/>
      <c r="H37" s="213">
        <v>0</v>
      </c>
      <c r="I37" s="213">
        <v>0</v>
      </c>
      <c r="J37" s="213">
        <v>0</v>
      </c>
      <c r="K37" s="213">
        <v>0</v>
      </c>
      <c r="L37" s="213">
        <v>0</v>
      </c>
      <c r="M37" s="181"/>
      <c r="N37" s="182"/>
      <c r="O37" s="213">
        <v>62.187893120393127</v>
      </c>
      <c r="P37" s="213">
        <v>18.8714312039312</v>
      </c>
      <c r="Q37" s="214">
        <v>-1</v>
      </c>
      <c r="R37" s="61"/>
      <c r="T37" s="207"/>
    </row>
    <row r="38" ht="15" customHeight="1">
      <c r="B38" s="12"/>
      <c r="C38" s="136" t="s">
        <v>98</v>
      </c>
      <c r="D38" s="137"/>
      <c r="E38" s="65">
        <v>33</v>
      </c>
      <c r="F38" s="74">
        <v>0.45205479452054792</v>
      </c>
      <c r="G38" s="211">
        <v>210.08212121212122</v>
      </c>
      <c r="H38" s="211">
        <v>19.61</v>
      </c>
      <c r="I38" s="211">
        <v>1062.7</v>
      </c>
      <c r="J38" s="211">
        <v>75.533636363636361</v>
      </c>
      <c r="K38" s="211">
        <v>2.51</v>
      </c>
      <c r="L38" s="211">
        <v>303.63</v>
      </c>
      <c r="M38" s="67"/>
      <c r="N38" s="138"/>
      <c r="O38" s="211">
        <v>154.60824636089004</v>
      </c>
      <c r="P38" s="211">
        <v>58.382425157923635</v>
      </c>
      <c r="Q38" s="212">
        <v>0.29377346597604781</v>
      </c>
      <c r="R38" s="61"/>
      <c r="T38" s="207"/>
    </row>
    <row r="39" ht="15" customHeight="1">
      <c r="B39" s="12"/>
      <c r="C39" s="176"/>
      <c r="D39" s="177" t="s">
        <v>100</v>
      </c>
      <c r="E39" s="178">
        <v>0</v>
      </c>
      <c r="F39" s="179">
        <v>0</v>
      </c>
      <c r="G39" s="213"/>
      <c r="H39" s="213">
        <v>0</v>
      </c>
      <c r="I39" s="213">
        <v>0</v>
      </c>
      <c r="J39" s="213">
        <v>0</v>
      </c>
      <c r="K39" s="213">
        <v>0</v>
      </c>
      <c r="L39" s="213">
        <v>0</v>
      </c>
      <c r="M39" s="181"/>
      <c r="N39" s="182"/>
      <c r="O39" s="213">
        <v>166.19380281690141</v>
      </c>
      <c r="P39" s="213">
        <v>131.8705915492958</v>
      </c>
      <c r="Q39" s="214">
        <v>-1</v>
      </c>
      <c r="R39" s="61"/>
      <c r="T39" s="207"/>
    </row>
    <row r="40" ht="15" customHeight="1">
      <c r="B40" s="12"/>
      <c r="C40" s="176"/>
      <c r="D40" s="177" t="s">
        <v>300</v>
      </c>
      <c r="E40" s="178">
        <v>0</v>
      </c>
      <c r="F40" s="179">
        <v>0</v>
      </c>
      <c r="G40" s="213"/>
      <c r="H40" s="213">
        <v>0</v>
      </c>
      <c r="I40" s="213">
        <v>0</v>
      </c>
      <c r="J40" s="213">
        <v>0</v>
      </c>
      <c r="K40" s="213">
        <v>0</v>
      </c>
      <c r="L40" s="213">
        <v>0</v>
      </c>
      <c r="M40" s="181"/>
      <c r="N40" s="182"/>
      <c r="O40" s="213">
        <v>77.388202764976967</v>
      </c>
      <c r="P40" s="213">
        <v>68.724976958525346</v>
      </c>
      <c r="Q40" s="214">
        <v>-1</v>
      </c>
      <c r="R40" s="61"/>
      <c r="T40" s="207"/>
    </row>
    <row r="41" ht="15" customHeight="1">
      <c r="B41" s="12"/>
      <c r="C41" s="176"/>
      <c r="D41" s="177" t="s">
        <v>301</v>
      </c>
      <c r="E41" s="178">
        <v>0</v>
      </c>
      <c r="F41" s="179">
        <v>0</v>
      </c>
      <c r="G41" s="213"/>
      <c r="H41" s="213">
        <v>0</v>
      </c>
      <c r="I41" s="213">
        <v>0</v>
      </c>
      <c r="J41" s="213">
        <v>0</v>
      </c>
      <c r="K41" s="213">
        <v>0</v>
      </c>
      <c r="L41" s="213">
        <v>0</v>
      </c>
      <c r="M41" s="181"/>
      <c r="N41" s="182"/>
      <c r="O41" s="213">
        <v>32.5</v>
      </c>
      <c r="P41" s="213">
        <v>6.5</v>
      </c>
      <c r="Q41" s="214">
        <v>-1</v>
      </c>
      <c r="R41" s="61"/>
      <c r="T41" s="207"/>
    </row>
    <row r="42" ht="15" customHeight="1">
      <c r="B42" s="12"/>
      <c r="C42" s="176"/>
      <c r="D42" s="177" t="s">
        <v>302</v>
      </c>
      <c r="E42" s="178">
        <v>0</v>
      </c>
      <c r="F42" s="179">
        <v>0</v>
      </c>
      <c r="G42" s="213"/>
      <c r="H42" s="213">
        <v>0</v>
      </c>
      <c r="I42" s="213">
        <v>0</v>
      </c>
      <c r="J42" s="213">
        <v>0</v>
      </c>
      <c r="K42" s="213">
        <v>0</v>
      </c>
      <c r="L42" s="213">
        <v>0</v>
      </c>
      <c r="M42" s="181"/>
      <c r="N42" s="182"/>
      <c r="O42" s="213">
        <v>58.96</v>
      </c>
      <c r="P42" s="213">
        <v>11.79</v>
      </c>
      <c r="Q42" s="214">
        <v>-1</v>
      </c>
      <c r="R42" s="61"/>
      <c r="T42" s="207"/>
    </row>
    <row r="43" ht="15" customHeight="1">
      <c r="B43" s="12"/>
      <c r="C43" s="176"/>
      <c r="D43" s="177" t="s">
        <v>101</v>
      </c>
      <c r="E43" s="178">
        <v>2</v>
      </c>
      <c r="F43" s="179">
        <v>0.0273972602739726</v>
      </c>
      <c r="G43" s="213">
        <v>30</v>
      </c>
      <c r="H43" s="213">
        <v>20</v>
      </c>
      <c r="I43" s="213">
        <v>40</v>
      </c>
      <c r="J43" s="213">
        <v>30</v>
      </c>
      <c r="K43" s="213">
        <v>20</v>
      </c>
      <c r="L43" s="213">
        <v>40</v>
      </c>
      <c r="M43" s="181"/>
      <c r="N43" s="182"/>
      <c r="O43" s="213">
        <v>189.75361389961404</v>
      </c>
      <c r="P43" s="213">
        <v>55.364401544401595</v>
      </c>
      <c r="Q43" s="214">
        <v>-0.45813555281010909</v>
      </c>
      <c r="R43" s="61"/>
      <c r="T43" s="207"/>
    </row>
    <row r="44" ht="15" customHeight="1">
      <c r="B44" s="12"/>
      <c r="C44" s="176"/>
      <c r="D44" s="177" t="s">
        <v>303</v>
      </c>
      <c r="E44" s="178">
        <v>3</v>
      </c>
      <c r="F44" s="179">
        <v>0.0410958904109589</v>
      </c>
      <c r="G44" s="213">
        <v>24</v>
      </c>
      <c r="H44" s="213">
        <v>24</v>
      </c>
      <c r="I44" s="213">
        <v>24</v>
      </c>
      <c r="J44" s="213">
        <v>24</v>
      </c>
      <c r="K44" s="213">
        <v>24</v>
      </c>
      <c r="L44" s="213">
        <v>24</v>
      </c>
      <c r="M44" s="181"/>
      <c r="N44" s="182"/>
      <c r="O44" s="213">
        <v>23.772511848341232</v>
      </c>
      <c r="P44" s="213">
        <v>23.772511848341232</v>
      </c>
      <c r="Q44" s="214">
        <v>0.0095698811652118465</v>
      </c>
      <c r="R44" s="61"/>
      <c r="T44" s="207"/>
    </row>
    <row r="45" ht="15" customHeight="1">
      <c r="B45" s="12"/>
      <c r="C45" s="176"/>
      <c r="D45" s="177" t="s">
        <v>304</v>
      </c>
      <c r="E45" s="178">
        <v>1</v>
      </c>
      <c r="F45" s="179">
        <v>0.0136986301369863</v>
      </c>
      <c r="G45" s="213">
        <v>85.84</v>
      </c>
      <c r="H45" s="213">
        <v>85.84</v>
      </c>
      <c r="I45" s="213">
        <v>85.84</v>
      </c>
      <c r="J45" s="213">
        <v>30.04</v>
      </c>
      <c r="K45" s="213">
        <v>30.04</v>
      </c>
      <c r="L45" s="213">
        <v>30.04</v>
      </c>
      <c r="M45" s="181"/>
      <c r="N45" s="182"/>
      <c r="O45" s="213">
        <v>100.86114649681525</v>
      </c>
      <c r="P45" s="213">
        <v>35.723216560509549</v>
      </c>
      <c r="Q45" s="214">
        <v>-0.15908989116316563</v>
      </c>
      <c r="R45" s="61"/>
      <c r="T45" s="207"/>
    </row>
    <row r="46" ht="15" customHeight="1">
      <c r="B46" s="12"/>
      <c r="C46" s="176"/>
      <c r="D46" s="177" t="s">
        <v>305</v>
      </c>
      <c r="E46" s="178">
        <v>0</v>
      </c>
      <c r="F46" s="179">
        <v>0</v>
      </c>
      <c r="G46" s="213"/>
      <c r="H46" s="213">
        <v>0</v>
      </c>
      <c r="I46" s="213">
        <v>0</v>
      </c>
      <c r="J46" s="213">
        <v>0</v>
      </c>
      <c r="K46" s="213">
        <v>0</v>
      </c>
      <c r="L46" s="213">
        <v>0</v>
      </c>
      <c r="M46" s="181"/>
      <c r="N46" s="182"/>
      <c r="O46" s="213">
        <v>2.76</v>
      </c>
      <c r="P46" s="213">
        <v>1.93</v>
      </c>
      <c r="Q46" s="214">
        <v>-1</v>
      </c>
      <c r="R46" s="61"/>
      <c r="T46" s="207"/>
    </row>
    <row r="47" ht="15" customHeight="1">
      <c r="B47" s="12"/>
      <c r="C47" s="176"/>
      <c r="D47" s="177" t="s">
        <v>306</v>
      </c>
      <c r="E47" s="178">
        <v>0</v>
      </c>
      <c r="F47" s="179">
        <v>0</v>
      </c>
      <c r="G47" s="213"/>
      <c r="H47" s="213">
        <v>0</v>
      </c>
      <c r="I47" s="213">
        <v>0</v>
      </c>
      <c r="J47" s="213">
        <v>0</v>
      </c>
      <c r="K47" s="213">
        <v>0</v>
      </c>
      <c r="L47" s="213">
        <v>0</v>
      </c>
      <c r="M47" s="181"/>
      <c r="N47" s="182"/>
      <c r="O47" s="213">
        <v>1577.6213496932514</v>
      </c>
      <c r="P47" s="213">
        <v>315.77582822085895</v>
      </c>
      <c r="Q47" s="214">
        <v>-1</v>
      </c>
      <c r="R47" s="61"/>
      <c r="T47" s="207"/>
    </row>
    <row r="48" ht="15" customHeight="1">
      <c r="B48" s="12"/>
      <c r="C48" s="176"/>
      <c r="D48" s="177" t="s">
        <v>103</v>
      </c>
      <c r="E48" s="178">
        <v>23</v>
      </c>
      <c r="F48" s="179">
        <v>0.31506849315068491</v>
      </c>
      <c r="G48" s="213">
        <v>288.54043478260871</v>
      </c>
      <c r="H48" s="213">
        <v>20</v>
      </c>
      <c r="I48" s="213">
        <v>1062.7</v>
      </c>
      <c r="J48" s="213">
        <v>97.918695652173923</v>
      </c>
      <c r="K48" s="213">
        <v>2.51</v>
      </c>
      <c r="L48" s="213">
        <v>303.63</v>
      </c>
      <c r="M48" s="181"/>
      <c r="N48" s="182"/>
      <c r="O48" s="213">
        <v>116.04196998123815</v>
      </c>
      <c r="P48" s="213">
        <v>42.879474671669705</v>
      </c>
      <c r="Q48" s="214">
        <v>1.2835783999347008</v>
      </c>
      <c r="R48" s="61"/>
      <c r="T48" s="207"/>
    </row>
    <row r="49" ht="15" customHeight="1">
      <c r="B49" s="12"/>
      <c r="C49" s="176"/>
      <c r="D49" s="177" t="s">
        <v>307</v>
      </c>
      <c r="E49" s="178">
        <v>0</v>
      </c>
      <c r="F49" s="179">
        <v>0</v>
      </c>
      <c r="G49" s="213"/>
      <c r="H49" s="213">
        <v>0</v>
      </c>
      <c r="I49" s="213">
        <v>0</v>
      </c>
      <c r="J49" s="213">
        <v>0</v>
      </c>
      <c r="K49" s="213">
        <v>0</v>
      </c>
      <c r="L49" s="213">
        <v>0</v>
      </c>
      <c r="M49" s="181"/>
      <c r="N49" s="182"/>
      <c r="O49" s="213">
        <v>223.82252631578947</v>
      </c>
      <c r="P49" s="213">
        <v>131.5102105263158</v>
      </c>
      <c r="Q49" s="214">
        <v>-1</v>
      </c>
      <c r="R49" s="61"/>
      <c r="T49" s="207"/>
    </row>
    <row r="50" ht="15" customHeight="1">
      <c r="B50" s="12"/>
      <c r="C50" s="176"/>
      <c r="D50" s="177" t="s">
        <v>104</v>
      </c>
      <c r="E50" s="178">
        <v>4</v>
      </c>
      <c r="F50" s="179">
        <v>0.0547945205479452</v>
      </c>
      <c r="G50" s="213">
        <v>19.61</v>
      </c>
      <c r="H50" s="213">
        <v>19.61</v>
      </c>
      <c r="I50" s="213">
        <v>19.61</v>
      </c>
      <c r="J50" s="213">
        <v>19.61</v>
      </c>
      <c r="K50" s="213">
        <v>19.61</v>
      </c>
      <c r="L50" s="213">
        <v>19.61</v>
      </c>
      <c r="M50" s="181"/>
      <c r="N50" s="182"/>
      <c r="O50" s="213">
        <v>18.6902033898305</v>
      </c>
      <c r="P50" s="213">
        <v>18.6902033898305</v>
      </c>
      <c r="Q50" s="214">
        <v>0.049212956522669549</v>
      </c>
      <c r="R50" s="61"/>
      <c r="T50" s="207"/>
    </row>
    <row r="51" ht="15" customHeight="1">
      <c r="B51" s="12"/>
      <c r="C51" s="176"/>
      <c r="D51" s="177" t="s">
        <v>308</v>
      </c>
      <c r="E51" s="178">
        <v>0</v>
      </c>
      <c r="F51" s="179">
        <v>0</v>
      </c>
      <c r="G51" s="213"/>
      <c r="H51" s="213">
        <v>0</v>
      </c>
      <c r="I51" s="213">
        <v>0</v>
      </c>
      <c r="J51" s="213">
        <v>0</v>
      </c>
      <c r="K51" s="213">
        <v>0</v>
      </c>
      <c r="L51" s="213">
        <v>0</v>
      </c>
      <c r="M51" s="181"/>
      <c r="N51" s="182"/>
      <c r="O51" s="213">
        <v>777.43</v>
      </c>
      <c r="P51" s="213">
        <v>472.19</v>
      </c>
      <c r="Q51" s="214">
        <v>-1</v>
      </c>
      <c r="R51" s="61"/>
      <c r="T51" s="207"/>
    </row>
    <row r="52" ht="15" customHeight="1">
      <c r="B52" s="12"/>
      <c r="C52" s="176"/>
      <c r="D52" s="177" t="s">
        <v>309</v>
      </c>
      <c r="E52" s="178">
        <v>0</v>
      </c>
      <c r="F52" s="179">
        <v>0</v>
      </c>
      <c r="G52" s="213"/>
      <c r="H52" s="213">
        <v>0</v>
      </c>
      <c r="I52" s="213">
        <v>0</v>
      </c>
      <c r="J52" s="213">
        <v>0</v>
      </c>
      <c r="K52" s="213">
        <v>0</v>
      </c>
      <c r="L52" s="213">
        <v>0</v>
      </c>
      <c r="M52" s="181"/>
      <c r="N52" s="182"/>
      <c r="O52" s="213">
        <v>317.64765957446809</v>
      </c>
      <c r="P52" s="213">
        <v>317.64765957446809</v>
      </c>
      <c r="Q52" s="214">
        <v>-1</v>
      </c>
      <c r="R52" s="61"/>
      <c r="T52" s="207"/>
    </row>
    <row r="53" ht="15" customHeight="1">
      <c r="B53" s="12"/>
      <c r="C53" s="176"/>
      <c r="D53" s="177" t="s">
        <v>310</v>
      </c>
      <c r="E53" s="178">
        <v>0</v>
      </c>
      <c r="F53" s="179">
        <v>0</v>
      </c>
      <c r="G53" s="213"/>
      <c r="H53" s="213">
        <v>0</v>
      </c>
      <c r="I53" s="213">
        <v>0</v>
      </c>
      <c r="J53" s="213">
        <v>0</v>
      </c>
      <c r="K53" s="213">
        <v>0</v>
      </c>
      <c r="L53" s="213">
        <v>0</v>
      </c>
      <c r="M53" s="181"/>
      <c r="N53" s="182"/>
      <c r="O53" s="213">
        <v>150</v>
      </c>
      <c r="P53" s="213">
        <v>52.5</v>
      </c>
      <c r="Q53" s="214">
        <v>-1</v>
      </c>
      <c r="R53" s="61"/>
      <c r="T53" s="207"/>
    </row>
    <row r="54" ht="15" customHeight="1">
      <c r="B54" s="12"/>
      <c r="C54" s="176"/>
      <c r="D54" s="177" t="s">
        <v>311</v>
      </c>
      <c r="E54" s="178">
        <v>0</v>
      </c>
      <c r="F54" s="179">
        <v>0</v>
      </c>
      <c r="G54" s="213"/>
      <c r="H54" s="213">
        <v>0</v>
      </c>
      <c r="I54" s="213">
        <v>0</v>
      </c>
      <c r="J54" s="213">
        <v>0</v>
      </c>
      <c r="K54" s="213">
        <v>0</v>
      </c>
      <c r="L54" s="213">
        <v>0</v>
      </c>
      <c r="M54" s="181"/>
      <c r="N54" s="182"/>
      <c r="O54" s="213">
        <v>150</v>
      </c>
      <c r="P54" s="213">
        <v>52.5</v>
      </c>
      <c r="Q54" s="214">
        <v>-1</v>
      </c>
      <c r="R54" s="61"/>
      <c r="T54" s="207"/>
    </row>
    <row r="55" ht="15" customHeight="1">
      <c r="B55" s="12"/>
      <c r="C55" s="176"/>
      <c r="D55" s="177" t="s">
        <v>312</v>
      </c>
      <c r="E55" s="178">
        <v>0</v>
      </c>
      <c r="F55" s="179">
        <v>0</v>
      </c>
      <c r="G55" s="213"/>
      <c r="H55" s="213">
        <v>0</v>
      </c>
      <c r="I55" s="213">
        <v>0</v>
      </c>
      <c r="J55" s="213">
        <v>0</v>
      </c>
      <c r="K55" s="213">
        <v>0</v>
      </c>
      <c r="L55" s="213">
        <v>0</v>
      </c>
      <c r="M55" s="181"/>
      <c r="N55" s="182"/>
      <c r="O55" s="213">
        <v>30</v>
      </c>
      <c r="P55" s="213">
        <v>30</v>
      </c>
      <c r="Q55" s="214">
        <v>-1</v>
      </c>
      <c r="R55" s="61"/>
      <c r="T55" s="207"/>
    </row>
    <row r="56" ht="15" customHeight="1">
      <c r="B56" s="12"/>
      <c r="C56" s="176"/>
      <c r="D56" s="177" t="s">
        <v>313</v>
      </c>
      <c r="E56" s="178">
        <v>0</v>
      </c>
      <c r="F56" s="179">
        <v>0</v>
      </c>
      <c r="G56" s="213"/>
      <c r="H56" s="213">
        <v>0</v>
      </c>
      <c r="I56" s="213">
        <v>0</v>
      </c>
      <c r="J56" s="213">
        <v>0</v>
      </c>
      <c r="K56" s="213">
        <v>0</v>
      </c>
      <c r="L56" s="213">
        <v>0</v>
      </c>
      <c r="M56" s="181"/>
      <c r="N56" s="182"/>
      <c r="O56" s="213">
        <v>23</v>
      </c>
      <c r="P56" s="213">
        <v>6.8999999999999995</v>
      </c>
      <c r="Q56" s="214">
        <v>-1</v>
      </c>
      <c r="R56" s="61"/>
      <c r="T56" s="207"/>
    </row>
    <row r="57" ht="15" customHeight="1">
      <c r="B57" s="12"/>
      <c r="C57" s="176"/>
      <c r="D57" s="177" t="s">
        <v>314</v>
      </c>
      <c r="E57" s="178">
        <v>0</v>
      </c>
      <c r="F57" s="179">
        <v>0</v>
      </c>
      <c r="G57" s="213"/>
      <c r="H57" s="213">
        <v>0</v>
      </c>
      <c r="I57" s="213">
        <v>0</v>
      </c>
      <c r="J57" s="213">
        <v>0</v>
      </c>
      <c r="K57" s="213">
        <v>0</v>
      </c>
      <c r="L57" s="213">
        <v>0</v>
      </c>
      <c r="M57" s="181"/>
      <c r="N57" s="182"/>
      <c r="O57" s="213">
        <v>6.03</v>
      </c>
      <c r="P57" s="213">
        <v>0.6</v>
      </c>
      <c r="Q57" s="214">
        <v>-1</v>
      </c>
      <c r="R57" s="61"/>
      <c r="T57" s="207"/>
    </row>
    <row r="58" ht="15" customHeight="1">
      <c r="B58" s="12"/>
      <c r="C58" s="176"/>
      <c r="D58" s="177" t="s">
        <v>315</v>
      </c>
      <c r="E58" s="178">
        <v>0</v>
      </c>
      <c r="F58" s="179">
        <v>0</v>
      </c>
      <c r="G58" s="213"/>
      <c r="H58" s="213">
        <v>0</v>
      </c>
      <c r="I58" s="213">
        <v>0</v>
      </c>
      <c r="J58" s="213">
        <v>0</v>
      </c>
      <c r="K58" s="213">
        <v>0</v>
      </c>
      <c r="L58" s="213">
        <v>0</v>
      </c>
      <c r="M58" s="181"/>
      <c r="N58" s="182"/>
      <c r="O58" s="213">
        <v>4.89247311827957</v>
      </c>
      <c r="P58" s="213">
        <v>1.4516129032258065</v>
      </c>
      <c r="Q58" s="214">
        <v>-1</v>
      </c>
      <c r="R58" s="61"/>
      <c r="T58" s="207"/>
    </row>
    <row r="59" ht="15" customHeight="1">
      <c r="B59" s="12"/>
      <c r="C59" s="176"/>
      <c r="D59" s="177" t="s">
        <v>316</v>
      </c>
      <c r="E59" s="178">
        <v>0</v>
      </c>
      <c r="F59" s="179">
        <v>0</v>
      </c>
      <c r="G59" s="213"/>
      <c r="H59" s="213">
        <v>0</v>
      </c>
      <c r="I59" s="213">
        <v>0</v>
      </c>
      <c r="J59" s="213">
        <v>0</v>
      </c>
      <c r="K59" s="213">
        <v>0</v>
      </c>
      <c r="L59" s="213">
        <v>0</v>
      </c>
      <c r="M59" s="181"/>
      <c r="N59" s="182"/>
      <c r="O59" s="213">
        <v>24</v>
      </c>
      <c r="P59" s="213">
        <v>24</v>
      </c>
      <c r="Q59" s="214">
        <v>-1</v>
      </c>
      <c r="R59" s="61"/>
      <c r="T59" s="207"/>
    </row>
    <row r="60" ht="15" customHeight="1">
      <c r="B60" s="12"/>
      <c r="C60" s="176"/>
      <c r="D60" s="177" t="s">
        <v>317</v>
      </c>
      <c r="E60" s="178">
        <v>0</v>
      </c>
      <c r="F60" s="179">
        <v>0</v>
      </c>
      <c r="G60" s="213"/>
      <c r="H60" s="213">
        <v>0</v>
      </c>
      <c r="I60" s="213">
        <v>0</v>
      </c>
      <c r="J60" s="213">
        <v>0</v>
      </c>
      <c r="K60" s="213">
        <v>0</v>
      </c>
      <c r="L60" s="213">
        <v>0</v>
      </c>
      <c r="M60" s="181"/>
      <c r="N60" s="182"/>
      <c r="O60" s="213">
        <v>28.21</v>
      </c>
      <c r="P60" s="213">
        <v>28.21</v>
      </c>
      <c r="Q60" s="214">
        <v>-1</v>
      </c>
      <c r="R60" s="61"/>
      <c r="T60" s="207"/>
    </row>
    <row r="61" ht="15" customHeight="1">
      <c r="B61" s="12"/>
      <c r="C61" s="136" t="s">
        <v>318</v>
      </c>
      <c r="D61" s="137"/>
      <c r="E61" s="65">
        <v>0</v>
      </c>
      <c r="F61" s="74">
        <v>0</v>
      </c>
      <c r="G61" s="211"/>
      <c r="H61" s="211">
        <v>0</v>
      </c>
      <c r="I61" s="211">
        <v>0</v>
      </c>
      <c r="J61" s="211">
        <v>0</v>
      </c>
      <c r="K61" s="211">
        <v>0</v>
      </c>
      <c r="L61" s="211">
        <v>0</v>
      </c>
      <c r="M61" s="67"/>
      <c r="N61" s="138"/>
      <c r="O61" s="211">
        <v>5363.466</v>
      </c>
      <c r="P61" s="211">
        <v>1986.4</v>
      </c>
      <c r="Q61" s="212">
        <v>-1</v>
      </c>
      <c r="R61" s="61"/>
      <c r="T61" s="207"/>
    </row>
    <row r="62" ht="15" customHeight="1">
      <c r="B62" s="12"/>
      <c r="C62" s="176"/>
      <c r="D62" s="177" t="s">
        <v>319</v>
      </c>
      <c r="E62" s="178">
        <v>0</v>
      </c>
      <c r="F62" s="179">
        <v>0</v>
      </c>
      <c r="G62" s="213"/>
      <c r="H62" s="213">
        <v>0</v>
      </c>
      <c r="I62" s="213">
        <v>0</v>
      </c>
      <c r="J62" s="213">
        <v>0</v>
      </c>
      <c r="K62" s="213">
        <v>0</v>
      </c>
      <c r="L62" s="213">
        <v>0</v>
      </c>
      <c r="M62" s="181"/>
      <c r="N62" s="182"/>
      <c r="O62" s="213">
        <v>5363.466</v>
      </c>
      <c r="P62" s="213">
        <v>1986.4</v>
      </c>
      <c r="Q62" s="214">
        <v>-1</v>
      </c>
      <c r="R62" s="61"/>
      <c r="T62" s="207"/>
    </row>
    <row r="63" ht="15" customHeight="1">
      <c r="B63" s="12"/>
      <c r="C63" s="136" t="s">
        <v>116</v>
      </c>
      <c r="D63" s="137"/>
      <c r="E63" s="65">
        <v>71</v>
      </c>
      <c r="F63" s="74">
        <v>0.9726027397260274</v>
      </c>
      <c r="G63" s="211">
        <v>167.65183098591547</v>
      </c>
      <c r="H63" s="211">
        <v>70.2</v>
      </c>
      <c r="I63" s="211">
        <v>377</v>
      </c>
      <c r="J63" s="211">
        <v>140.81098591549295</v>
      </c>
      <c r="K63" s="211">
        <v>30.05</v>
      </c>
      <c r="L63" s="211">
        <v>376.97</v>
      </c>
      <c r="M63" s="67"/>
      <c r="N63" s="138"/>
      <c r="O63" s="211">
        <v>180.0465529199611</v>
      </c>
      <c r="P63" s="211">
        <v>128.41015674850908</v>
      </c>
      <c r="Q63" s="212">
        <v>0.096571767663316432</v>
      </c>
      <c r="R63" s="61"/>
      <c r="T63" s="207"/>
    </row>
    <row r="64" ht="15" customHeight="1">
      <c r="B64" s="12"/>
      <c r="C64" s="176"/>
      <c r="D64" s="177" t="s">
        <v>163</v>
      </c>
      <c r="E64" s="178">
        <v>0</v>
      </c>
      <c r="F64" s="179">
        <v>0</v>
      </c>
      <c r="G64" s="213"/>
      <c r="H64" s="213">
        <v>0</v>
      </c>
      <c r="I64" s="213">
        <v>0</v>
      </c>
      <c r="J64" s="213">
        <v>0</v>
      </c>
      <c r="K64" s="213">
        <v>0</v>
      </c>
      <c r="L64" s="213">
        <v>0</v>
      </c>
      <c r="M64" s="181"/>
      <c r="N64" s="182"/>
      <c r="O64" s="213">
        <v>256.47623152709349</v>
      </c>
      <c r="P64" s="213">
        <v>168.52205254515647</v>
      </c>
      <c r="Q64" s="214">
        <v>-1</v>
      </c>
      <c r="R64" s="61"/>
      <c r="T64" s="207"/>
    </row>
    <row r="65" ht="15" customHeight="1">
      <c r="B65" s="12"/>
      <c r="C65" s="176"/>
      <c r="D65" s="177" t="s">
        <v>320</v>
      </c>
      <c r="E65" s="178">
        <v>0</v>
      </c>
      <c r="F65" s="179">
        <v>0</v>
      </c>
      <c r="G65" s="213"/>
      <c r="H65" s="213">
        <v>0</v>
      </c>
      <c r="I65" s="213">
        <v>0</v>
      </c>
      <c r="J65" s="213">
        <v>0</v>
      </c>
      <c r="K65" s="213">
        <v>0</v>
      </c>
      <c r="L65" s="213">
        <v>0</v>
      </c>
      <c r="M65" s="181"/>
      <c r="N65" s="182"/>
      <c r="O65" s="213">
        <v>43.464912280701753</v>
      </c>
      <c r="P65" s="213">
        <v>35.641228070175444</v>
      </c>
      <c r="Q65" s="214">
        <v>-1</v>
      </c>
      <c r="R65" s="61"/>
      <c r="T65" s="207"/>
    </row>
    <row r="66" ht="15" customHeight="1">
      <c r="B66" s="12"/>
      <c r="C66" s="176"/>
      <c r="D66" s="177" t="s">
        <v>321</v>
      </c>
      <c r="E66" s="178">
        <v>0</v>
      </c>
      <c r="F66" s="179">
        <v>0</v>
      </c>
      <c r="G66" s="213"/>
      <c r="H66" s="213">
        <v>0</v>
      </c>
      <c r="I66" s="213">
        <v>0</v>
      </c>
      <c r="J66" s="213">
        <v>0</v>
      </c>
      <c r="K66" s="213">
        <v>0</v>
      </c>
      <c r="L66" s="213">
        <v>0</v>
      </c>
      <c r="M66" s="181"/>
      <c r="N66" s="182"/>
      <c r="O66" s="213">
        <v>1630</v>
      </c>
      <c r="P66" s="213">
        <v>230</v>
      </c>
      <c r="Q66" s="214">
        <v>-1</v>
      </c>
      <c r="R66" s="61"/>
      <c r="T66" s="207"/>
    </row>
    <row r="67" ht="15" customHeight="1">
      <c r="B67" s="12"/>
      <c r="C67" s="176"/>
      <c r="D67" s="177" t="s">
        <v>118</v>
      </c>
      <c r="E67" s="178">
        <v>6</v>
      </c>
      <c r="F67" s="179">
        <v>0.0821917808219178</v>
      </c>
      <c r="G67" s="213">
        <v>121.60000000000001</v>
      </c>
      <c r="H67" s="213">
        <v>70.2</v>
      </c>
      <c r="I67" s="213">
        <v>200</v>
      </c>
      <c r="J67" s="213">
        <v>121.60000000000001</v>
      </c>
      <c r="K67" s="213">
        <v>70.2</v>
      </c>
      <c r="L67" s="213">
        <v>200</v>
      </c>
      <c r="M67" s="181"/>
      <c r="N67" s="182"/>
      <c r="O67" s="213">
        <v>82.152003599280135</v>
      </c>
      <c r="P67" s="213">
        <v>66.902633473305372</v>
      </c>
      <c r="Q67" s="214">
        <v>0.8175676281639277</v>
      </c>
      <c r="R67" s="61"/>
      <c r="T67" s="207"/>
    </row>
    <row r="68" ht="15" customHeight="1">
      <c r="B68" s="12"/>
      <c r="C68" s="176"/>
      <c r="D68" s="177" t="s">
        <v>322</v>
      </c>
      <c r="E68" s="178">
        <v>0</v>
      </c>
      <c r="F68" s="179">
        <v>0</v>
      </c>
      <c r="G68" s="213"/>
      <c r="H68" s="213">
        <v>0</v>
      </c>
      <c r="I68" s="213">
        <v>0</v>
      </c>
      <c r="J68" s="213">
        <v>0</v>
      </c>
      <c r="K68" s="213">
        <v>0</v>
      </c>
      <c r="L68" s="213">
        <v>0</v>
      </c>
      <c r="M68" s="181"/>
      <c r="N68" s="182"/>
      <c r="O68" s="213">
        <v>427.5</v>
      </c>
      <c r="P68" s="213">
        <v>212.47750000000002</v>
      </c>
      <c r="Q68" s="214">
        <v>-1</v>
      </c>
      <c r="R68" s="61"/>
      <c r="T68" s="207"/>
    </row>
    <row r="69" ht="15" customHeight="1">
      <c r="B69" s="12"/>
      <c r="C69" s="176"/>
      <c r="D69" s="177" t="s">
        <v>323</v>
      </c>
      <c r="E69" s="178">
        <v>0</v>
      </c>
      <c r="F69" s="179">
        <v>0</v>
      </c>
      <c r="G69" s="213"/>
      <c r="H69" s="213">
        <v>0</v>
      </c>
      <c r="I69" s="213">
        <v>0</v>
      </c>
      <c r="J69" s="213">
        <v>0</v>
      </c>
      <c r="K69" s="213">
        <v>0</v>
      </c>
      <c r="L69" s="213">
        <v>0</v>
      </c>
      <c r="M69" s="181"/>
      <c r="N69" s="182"/>
      <c r="O69" s="213">
        <v>137.15483870967739</v>
      </c>
      <c r="P69" s="213">
        <v>116.49935483870966</v>
      </c>
      <c r="Q69" s="214">
        <v>-1</v>
      </c>
      <c r="R69" s="61"/>
      <c r="T69" s="207"/>
    </row>
    <row r="70" ht="15" customHeight="1">
      <c r="B70" s="12"/>
      <c r="C70" s="176"/>
      <c r="D70" s="177" t="s">
        <v>324</v>
      </c>
      <c r="E70" s="178">
        <v>24</v>
      </c>
      <c r="F70" s="179">
        <v>0.32876712328767121</v>
      </c>
      <c r="G70" s="213">
        <v>227.48749999999998</v>
      </c>
      <c r="H70" s="213">
        <v>98</v>
      </c>
      <c r="I70" s="213">
        <v>377</v>
      </c>
      <c r="J70" s="213">
        <v>187.88125</v>
      </c>
      <c r="K70" s="213">
        <v>30.05</v>
      </c>
      <c r="L70" s="213">
        <v>376.97</v>
      </c>
      <c r="M70" s="181"/>
      <c r="N70" s="182"/>
      <c r="O70" s="213">
        <v>233.1394187898089</v>
      </c>
      <c r="P70" s="213">
        <v>177.07542197452275</v>
      </c>
      <c r="Q70" s="214">
        <v>0.061023722098044075</v>
      </c>
      <c r="R70" s="61"/>
      <c r="T70" s="207"/>
    </row>
    <row r="71" ht="15" customHeight="1">
      <c r="B71" s="12"/>
      <c r="C71" s="176"/>
      <c r="D71" s="177" t="s">
        <v>325</v>
      </c>
      <c r="E71" s="178">
        <v>41</v>
      </c>
      <c r="F71" s="179">
        <v>0.56164383561643838</v>
      </c>
      <c r="G71" s="213">
        <v>139.36536585365852</v>
      </c>
      <c r="H71" s="213">
        <v>90</v>
      </c>
      <c r="I71" s="213">
        <v>266</v>
      </c>
      <c r="J71" s="213">
        <v>116.0690243902439</v>
      </c>
      <c r="K71" s="213">
        <v>53</v>
      </c>
      <c r="L71" s="213">
        <v>179.97</v>
      </c>
      <c r="M71" s="181"/>
      <c r="N71" s="182"/>
      <c r="O71" s="213">
        <v>125.0337521917008</v>
      </c>
      <c r="P71" s="213">
        <v>98.466481589714007</v>
      </c>
      <c r="Q71" s="214">
        <v>0.17876638247525811</v>
      </c>
      <c r="R71" s="61"/>
      <c r="T71" s="207"/>
    </row>
    <row r="72" ht="15" customHeight="1">
      <c r="B72" s="12"/>
      <c r="C72" s="176"/>
      <c r="D72" s="177" t="s">
        <v>123</v>
      </c>
      <c r="E72" s="178">
        <v>0</v>
      </c>
      <c r="F72" s="179">
        <v>0</v>
      </c>
      <c r="G72" s="213"/>
      <c r="H72" s="213">
        <v>0</v>
      </c>
      <c r="I72" s="213">
        <v>0</v>
      </c>
      <c r="J72" s="213">
        <v>0</v>
      </c>
      <c r="K72" s="213">
        <v>0</v>
      </c>
      <c r="L72" s="213">
        <v>0</v>
      </c>
      <c r="M72" s="181"/>
      <c r="N72" s="182"/>
      <c r="O72" s="213">
        <v>133.71666666666667</v>
      </c>
      <c r="P72" s="213">
        <v>116.63666666666666</v>
      </c>
      <c r="Q72" s="214">
        <v>-1</v>
      </c>
      <c r="R72" s="61"/>
      <c r="T72" s="207"/>
    </row>
    <row r="73" ht="15" customHeight="1">
      <c r="B73" s="12"/>
      <c r="C73" s="176"/>
      <c r="D73" s="177" t="s">
        <v>326</v>
      </c>
      <c r="E73" s="178">
        <v>0</v>
      </c>
      <c r="F73" s="179">
        <v>0</v>
      </c>
      <c r="G73" s="213"/>
      <c r="H73" s="213">
        <v>0</v>
      </c>
      <c r="I73" s="213">
        <v>0</v>
      </c>
      <c r="J73" s="213">
        <v>0</v>
      </c>
      <c r="K73" s="213">
        <v>0</v>
      </c>
      <c r="L73" s="213">
        <v>0</v>
      </c>
      <c r="M73" s="181"/>
      <c r="N73" s="182"/>
      <c r="O73" s="213">
        <v>28</v>
      </c>
      <c r="P73" s="213">
        <v>8.4</v>
      </c>
      <c r="Q73" s="214">
        <v>-1</v>
      </c>
      <c r="R73" s="61"/>
      <c r="T73" s="207"/>
    </row>
    <row r="74" ht="15" customHeight="1">
      <c r="B74" s="12"/>
      <c r="C74" s="136" t="s">
        <v>129</v>
      </c>
      <c r="D74" s="137"/>
      <c r="E74" s="65">
        <v>42</v>
      </c>
      <c r="F74" s="74">
        <v>0.57534246575342463</v>
      </c>
      <c r="G74" s="211">
        <v>58.404761904761905</v>
      </c>
      <c r="H74" s="211">
        <v>35</v>
      </c>
      <c r="I74" s="211">
        <v>80</v>
      </c>
      <c r="J74" s="211">
        <v>37.476190476190474</v>
      </c>
      <c r="K74" s="211">
        <v>5</v>
      </c>
      <c r="L74" s="211">
        <v>50</v>
      </c>
      <c r="M74" s="67"/>
      <c r="N74" s="138"/>
      <c r="O74" s="211">
        <v>57.273258084197678</v>
      </c>
      <c r="P74" s="211">
        <v>40.888151311775466</v>
      </c>
      <c r="Q74" s="212">
        <v>-0.083447058075434954</v>
      </c>
      <c r="R74" s="61"/>
      <c r="T74" s="207"/>
    </row>
    <row r="75" ht="15" customHeight="1">
      <c r="B75" s="12"/>
      <c r="C75" s="176"/>
      <c r="D75" s="177" t="s">
        <v>61</v>
      </c>
      <c r="E75" s="178">
        <v>42</v>
      </c>
      <c r="F75" s="179">
        <v>0.57534246575342463</v>
      </c>
      <c r="G75" s="213">
        <v>58.404761904761905</v>
      </c>
      <c r="H75" s="213">
        <v>35</v>
      </c>
      <c r="I75" s="213">
        <v>80</v>
      </c>
      <c r="J75" s="213">
        <v>37.476190476190474</v>
      </c>
      <c r="K75" s="213">
        <v>5</v>
      </c>
      <c r="L75" s="213">
        <v>50</v>
      </c>
      <c r="M75" s="181"/>
      <c r="N75" s="182"/>
      <c r="O75" s="213">
        <v>58.621062480177613</v>
      </c>
      <c r="P75" s="213">
        <v>42.058135109419595</v>
      </c>
      <c r="Q75" s="214">
        <v>-0.10894215383005901</v>
      </c>
      <c r="R75" s="61"/>
      <c r="T75" s="207"/>
    </row>
    <row r="76" ht="15" customHeight="1">
      <c r="B76" s="12"/>
      <c r="C76" s="176"/>
      <c r="D76" s="177" t="s">
        <v>327</v>
      </c>
      <c r="E76" s="178">
        <v>0</v>
      </c>
      <c r="F76" s="179">
        <v>0</v>
      </c>
      <c r="G76" s="213"/>
      <c r="H76" s="213">
        <v>0</v>
      </c>
      <c r="I76" s="213">
        <v>0</v>
      </c>
      <c r="J76" s="213">
        <v>0</v>
      </c>
      <c r="K76" s="213">
        <v>0</v>
      </c>
      <c r="L76" s="213">
        <v>0</v>
      </c>
      <c r="M76" s="181"/>
      <c r="N76" s="182"/>
      <c r="O76" s="213">
        <v>7.1320000000000014</v>
      </c>
      <c r="P76" s="213">
        <v>2.1328000000000005</v>
      </c>
      <c r="Q76" s="214">
        <v>-1</v>
      </c>
      <c r="R76" s="61"/>
      <c r="T76" s="207"/>
    </row>
    <row r="77" ht="15" customHeight="1">
      <c r="B77" s="12"/>
      <c r="C77" s="176"/>
      <c r="D77" s="177" t="s">
        <v>328</v>
      </c>
      <c r="E77" s="178">
        <v>0</v>
      </c>
      <c r="F77" s="179">
        <v>0</v>
      </c>
      <c r="G77" s="213"/>
      <c r="H77" s="213">
        <v>0</v>
      </c>
      <c r="I77" s="213">
        <v>0</v>
      </c>
      <c r="J77" s="213">
        <v>0</v>
      </c>
      <c r="K77" s="213">
        <v>0</v>
      </c>
      <c r="L77" s="213">
        <v>0</v>
      </c>
      <c r="M77" s="181"/>
      <c r="N77" s="182"/>
      <c r="O77" s="213">
        <v>47.4926</v>
      </c>
      <c r="P77" s="213">
        <v>25.241999999999997</v>
      </c>
      <c r="Q77" s="214">
        <v>-1</v>
      </c>
      <c r="R77" s="61"/>
      <c r="T77" s="207"/>
    </row>
    <row r="78" ht="15" customHeight="1">
      <c r="B78" s="12"/>
      <c r="C78" s="136" t="s">
        <v>131</v>
      </c>
      <c r="D78" s="137"/>
      <c r="E78" s="65">
        <v>2257</v>
      </c>
      <c r="F78" s="74">
        <v>30.917808219178081</v>
      </c>
      <c r="G78" s="211">
        <v>19.126229508196751</v>
      </c>
      <c r="H78" s="211">
        <v>0.51</v>
      </c>
      <c r="I78" s="211">
        <v>254.61</v>
      </c>
      <c r="J78" s="211">
        <v>7.468001772264059</v>
      </c>
      <c r="K78" s="211">
        <v>0.14</v>
      </c>
      <c r="L78" s="211">
        <v>101.84</v>
      </c>
      <c r="M78" s="67"/>
      <c r="N78" s="138"/>
      <c r="O78" s="211">
        <v>12.178706384189107</v>
      </c>
      <c r="P78" s="211">
        <v>4.6795199488126045</v>
      </c>
      <c r="Q78" s="212">
        <v>0.59589699754247238</v>
      </c>
      <c r="R78" s="61"/>
      <c r="T78" s="207"/>
    </row>
    <row r="79" ht="15" customHeight="1">
      <c r="B79" s="12"/>
      <c r="C79" s="176"/>
      <c r="D79" s="177" t="s">
        <v>329</v>
      </c>
      <c r="E79" s="178">
        <v>0</v>
      </c>
      <c r="F79" s="179">
        <v>0</v>
      </c>
      <c r="G79" s="213"/>
      <c r="H79" s="213">
        <v>0</v>
      </c>
      <c r="I79" s="213">
        <v>0</v>
      </c>
      <c r="J79" s="213">
        <v>0</v>
      </c>
      <c r="K79" s="213">
        <v>0</v>
      </c>
      <c r="L79" s="213">
        <v>0</v>
      </c>
      <c r="M79" s="181"/>
      <c r="N79" s="182"/>
      <c r="O79" s="213">
        <v>43.15464655172417</v>
      </c>
      <c r="P79" s="213">
        <v>12.908224137931022</v>
      </c>
      <c r="Q79" s="214">
        <v>-1</v>
      </c>
      <c r="R79" s="61"/>
      <c r="T79" s="207"/>
    </row>
    <row r="80" ht="15" customHeight="1">
      <c r="B80" s="12"/>
      <c r="C80" s="176"/>
      <c r="D80" s="177" t="s">
        <v>330</v>
      </c>
      <c r="E80" s="178">
        <v>0</v>
      </c>
      <c r="F80" s="179">
        <v>0</v>
      </c>
      <c r="G80" s="213"/>
      <c r="H80" s="213">
        <v>0</v>
      </c>
      <c r="I80" s="213">
        <v>0</v>
      </c>
      <c r="J80" s="213">
        <v>0</v>
      </c>
      <c r="K80" s="213">
        <v>0</v>
      </c>
      <c r="L80" s="213">
        <v>0</v>
      </c>
      <c r="M80" s="181"/>
      <c r="N80" s="182"/>
      <c r="O80" s="213">
        <v>17.85</v>
      </c>
      <c r="P80" s="213">
        <v>7.14</v>
      </c>
      <c r="Q80" s="214">
        <v>-1</v>
      </c>
      <c r="R80" s="61"/>
      <c r="T80" s="207"/>
    </row>
    <row r="81" ht="15" customHeight="1">
      <c r="B81" s="12"/>
      <c r="C81" s="176"/>
      <c r="D81" s="177" t="s">
        <v>134</v>
      </c>
      <c r="E81" s="178">
        <v>79</v>
      </c>
      <c r="F81" s="179">
        <v>1.0821917808219179</v>
      </c>
      <c r="G81" s="213">
        <v>35.996582278481014</v>
      </c>
      <c r="H81" s="213">
        <v>3.78</v>
      </c>
      <c r="I81" s="213">
        <v>254.61</v>
      </c>
      <c r="J81" s="213">
        <v>14.399367088607594</v>
      </c>
      <c r="K81" s="213">
        <v>1.51</v>
      </c>
      <c r="L81" s="213">
        <v>101.84</v>
      </c>
      <c r="M81" s="181"/>
      <c r="N81" s="182"/>
      <c r="O81" s="213">
        <v>28.213354110511982</v>
      </c>
      <c r="P81" s="213">
        <v>11.111481637466333</v>
      </c>
      <c r="Q81" s="214">
        <v>0.29590064347747824</v>
      </c>
      <c r="R81" s="61"/>
      <c r="T81" s="207"/>
    </row>
    <row r="82" ht="15" customHeight="1">
      <c r="B82" s="12"/>
      <c r="C82" s="176"/>
      <c r="D82" s="177" t="s">
        <v>331</v>
      </c>
      <c r="E82" s="178">
        <v>0</v>
      </c>
      <c r="F82" s="179">
        <v>0</v>
      </c>
      <c r="G82" s="213"/>
      <c r="H82" s="213">
        <v>0</v>
      </c>
      <c r="I82" s="213">
        <v>0</v>
      </c>
      <c r="J82" s="213">
        <v>0</v>
      </c>
      <c r="K82" s="213">
        <v>0</v>
      </c>
      <c r="L82" s="213">
        <v>0</v>
      </c>
      <c r="M82" s="181"/>
      <c r="N82" s="182"/>
      <c r="O82" s="213">
        <v>43.578234126984086</v>
      </c>
      <c r="P82" s="213">
        <v>17.42400793650793</v>
      </c>
      <c r="Q82" s="214">
        <v>-1</v>
      </c>
      <c r="R82" s="61"/>
      <c r="T82" s="207"/>
    </row>
    <row r="83" ht="15" customHeight="1">
      <c r="B83" s="12"/>
      <c r="C83" s="176"/>
      <c r="D83" s="177" t="s">
        <v>282</v>
      </c>
      <c r="E83" s="178">
        <v>33</v>
      </c>
      <c r="F83" s="179">
        <v>0.45205479452054792</v>
      </c>
      <c r="G83" s="213">
        <v>32.136666666666663</v>
      </c>
      <c r="H83" s="213">
        <v>1.15</v>
      </c>
      <c r="I83" s="213">
        <v>93</v>
      </c>
      <c r="J83" s="213">
        <v>15.406666666666666</v>
      </c>
      <c r="K83" s="213">
        <v>0.46</v>
      </c>
      <c r="L83" s="213">
        <v>49.06</v>
      </c>
      <c r="M83" s="181"/>
      <c r="N83" s="182"/>
      <c r="O83" s="213">
        <v>50.717485443959269</v>
      </c>
      <c r="P83" s="213">
        <v>20.920003639010179</v>
      </c>
      <c r="Q83" s="214">
        <v>-0.26354206500956023</v>
      </c>
      <c r="R83" s="61"/>
      <c r="T83" s="207"/>
    </row>
    <row r="84" ht="15" customHeight="1">
      <c r="B84" s="12"/>
      <c r="C84" s="176"/>
      <c r="D84" s="177" t="s">
        <v>332</v>
      </c>
      <c r="E84" s="178">
        <v>0</v>
      </c>
      <c r="F84" s="179">
        <v>0</v>
      </c>
      <c r="G84" s="213"/>
      <c r="H84" s="213">
        <v>0</v>
      </c>
      <c r="I84" s="213">
        <v>0</v>
      </c>
      <c r="J84" s="213">
        <v>0</v>
      </c>
      <c r="K84" s="213">
        <v>0</v>
      </c>
      <c r="L84" s="213">
        <v>0</v>
      </c>
      <c r="M84" s="181"/>
      <c r="N84" s="182"/>
      <c r="O84" s="213">
        <v>37.35</v>
      </c>
      <c r="P84" s="213">
        <v>14.94</v>
      </c>
      <c r="Q84" s="214">
        <v>-1</v>
      </c>
      <c r="R84" s="61"/>
      <c r="T84" s="207"/>
    </row>
    <row r="85" ht="15" customHeight="1">
      <c r="B85" s="12"/>
      <c r="C85" s="176"/>
      <c r="D85" s="177" t="s">
        <v>333</v>
      </c>
      <c r="E85" s="178">
        <v>0</v>
      </c>
      <c r="F85" s="179">
        <v>0</v>
      </c>
      <c r="G85" s="213"/>
      <c r="H85" s="213">
        <v>0</v>
      </c>
      <c r="I85" s="213">
        <v>0</v>
      </c>
      <c r="J85" s="213">
        <v>0</v>
      </c>
      <c r="K85" s="213">
        <v>0</v>
      </c>
      <c r="L85" s="213">
        <v>0</v>
      </c>
      <c r="M85" s="181"/>
      <c r="N85" s="182"/>
      <c r="O85" s="213">
        <v>21.922090592334502</v>
      </c>
      <c r="P85" s="213">
        <v>7.4310278745644629</v>
      </c>
      <c r="Q85" s="214">
        <v>-1</v>
      </c>
      <c r="R85" s="61"/>
      <c r="T85" s="207"/>
    </row>
    <row r="86" ht="15" customHeight="1">
      <c r="B86" s="12"/>
      <c r="C86" s="176"/>
      <c r="D86" s="177" t="s">
        <v>135</v>
      </c>
      <c r="E86" s="178">
        <v>319</v>
      </c>
      <c r="F86" s="179">
        <v>4.36986301369863</v>
      </c>
      <c r="G86" s="213">
        <v>24.939686520376238</v>
      </c>
      <c r="H86" s="213">
        <v>0.75</v>
      </c>
      <c r="I86" s="213">
        <v>140</v>
      </c>
      <c r="J86" s="213">
        <v>10.501191222570533</v>
      </c>
      <c r="K86" s="213">
        <v>0.14</v>
      </c>
      <c r="L86" s="213">
        <v>90.91</v>
      </c>
      <c r="M86" s="181"/>
      <c r="N86" s="182"/>
      <c r="O86" s="213">
        <v>18.127385701838833</v>
      </c>
      <c r="P86" s="213">
        <v>7.4918051543081194</v>
      </c>
      <c r="Q86" s="214">
        <v>0.40169251715208643</v>
      </c>
      <c r="R86" s="61"/>
      <c r="T86" s="207"/>
    </row>
    <row r="87" ht="15" customHeight="1">
      <c r="B87" s="12"/>
      <c r="C87" s="176"/>
      <c r="D87" s="177" t="s">
        <v>165</v>
      </c>
      <c r="E87" s="178">
        <v>542</v>
      </c>
      <c r="F87" s="179">
        <v>7.4246575342465757</v>
      </c>
      <c r="G87" s="213">
        <v>48.71894833948339</v>
      </c>
      <c r="H87" s="213">
        <v>2</v>
      </c>
      <c r="I87" s="213">
        <v>150</v>
      </c>
      <c r="J87" s="213">
        <v>17.814999999999962</v>
      </c>
      <c r="K87" s="213">
        <v>0.6</v>
      </c>
      <c r="L87" s="213">
        <v>66.4</v>
      </c>
      <c r="M87" s="181"/>
      <c r="N87" s="182"/>
      <c r="O87" s="213">
        <v>15.349998051294236</v>
      </c>
      <c r="P87" s="213">
        <v>5.5401547950888528</v>
      </c>
      <c r="Q87" s="214">
        <v>2.2155878849139024</v>
      </c>
      <c r="R87" s="61"/>
      <c r="T87" s="207"/>
    </row>
    <row r="88" ht="15" customHeight="1">
      <c r="B88" s="12"/>
      <c r="C88" s="176"/>
      <c r="D88" s="177" t="s">
        <v>334</v>
      </c>
      <c r="E88" s="178">
        <v>0</v>
      </c>
      <c r="F88" s="179">
        <v>0</v>
      </c>
      <c r="G88" s="213"/>
      <c r="H88" s="213">
        <v>0</v>
      </c>
      <c r="I88" s="213">
        <v>0</v>
      </c>
      <c r="J88" s="213">
        <v>0</v>
      </c>
      <c r="K88" s="213">
        <v>0</v>
      </c>
      <c r="L88" s="213">
        <v>0</v>
      </c>
      <c r="M88" s="181"/>
      <c r="N88" s="182"/>
      <c r="O88" s="213">
        <v>30.275</v>
      </c>
      <c r="P88" s="213">
        <v>14.075000000000001</v>
      </c>
      <c r="Q88" s="214">
        <v>-1</v>
      </c>
      <c r="R88" s="61"/>
      <c r="T88" s="207"/>
    </row>
    <row r="89" ht="15" customHeight="1">
      <c r="B89" s="12"/>
      <c r="C89" s="176"/>
      <c r="D89" s="177" t="s">
        <v>335</v>
      </c>
      <c r="E89" s="178">
        <v>0</v>
      </c>
      <c r="F89" s="179">
        <v>0</v>
      </c>
      <c r="G89" s="213"/>
      <c r="H89" s="213">
        <v>0</v>
      </c>
      <c r="I89" s="213">
        <v>0</v>
      </c>
      <c r="J89" s="213">
        <v>0</v>
      </c>
      <c r="K89" s="213">
        <v>0</v>
      </c>
      <c r="L89" s="213">
        <v>0</v>
      </c>
      <c r="M89" s="181"/>
      <c r="N89" s="182"/>
      <c r="O89" s="213">
        <v>50</v>
      </c>
      <c r="P89" s="213">
        <v>18</v>
      </c>
      <c r="Q89" s="214">
        <v>-1</v>
      </c>
      <c r="R89" s="61"/>
      <c r="T89" s="207"/>
    </row>
    <row r="90" ht="15" customHeight="1">
      <c r="B90" s="12"/>
      <c r="C90" s="176"/>
      <c r="D90" s="177" t="s">
        <v>336</v>
      </c>
      <c r="E90" s="178">
        <v>0</v>
      </c>
      <c r="F90" s="179">
        <v>0</v>
      </c>
      <c r="G90" s="213"/>
      <c r="H90" s="213">
        <v>0</v>
      </c>
      <c r="I90" s="213">
        <v>0</v>
      </c>
      <c r="J90" s="213">
        <v>0</v>
      </c>
      <c r="K90" s="213">
        <v>0</v>
      </c>
      <c r="L90" s="213">
        <v>0</v>
      </c>
      <c r="M90" s="181"/>
      <c r="N90" s="182"/>
      <c r="O90" s="213">
        <v>9.1</v>
      </c>
      <c r="P90" s="213">
        <v>1.82</v>
      </c>
      <c r="Q90" s="214">
        <v>-1</v>
      </c>
      <c r="R90" s="61"/>
      <c r="T90" s="207"/>
    </row>
    <row r="91" ht="15" customHeight="1">
      <c r="B91" s="12"/>
      <c r="C91" s="176"/>
      <c r="D91" s="177" t="s">
        <v>337</v>
      </c>
      <c r="E91" s="178">
        <v>0</v>
      </c>
      <c r="F91" s="179">
        <v>0</v>
      </c>
      <c r="G91" s="213"/>
      <c r="H91" s="213">
        <v>0</v>
      </c>
      <c r="I91" s="213">
        <v>0</v>
      </c>
      <c r="J91" s="213">
        <v>0</v>
      </c>
      <c r="K91" s="213">
        <v>0</v>
      </c>
      <c r="L91" s="213">
        <v>0</v>
      </c>
      <c r="M91" s="181"/>
      <c r="N91" s="182"/>
      <c r="O91" s="213">
        <v>45.698026284909673</v>
      </c>
      <c r="P91" s="213">
        <v>13.647373855902366</v>
      </c>
      <c r="Q91" s="214">
        <v>-1</v>
      </c>
      <c r="R91" s="61"/>
      <c r="T91" s="207"/>
    </row>
    <row r="92" ht="15" customHeight="1">
      <c r="B92" s="12"/>
      <c r="C92" s="176"/>
      <c r="D92" s="177" t="s">
        <v>338</v>
      </c>
      <c r="E92" s="178">
        <v>0</v>
      </c>
      <c r="F92" s="179">
        <v>0</v>
      </c>
      <c r="G92" s="213"/>
      <c r="H92" s="213">
        <v>0</v>
      </c>
      <c r="I92" s="213">
        <v>0</v>
      </c>
      <c r="J92" s="213">
        <v>0</v>
      </c>
      <c r="K92" s="213">
        <v>0</v>
      </c>
      <c r="L92" s="213">
        <v>0</v>
      </c>
      <c r="M92" s="181"/>
      <c r="N92" s="182"/>
      <c r="O92" s="213">
        <v>4.04</v>
      </c>
      <c r="P92" s="213">
        <v>1.6200000000000006</v>
      </c>
      <c r="Q92" s="214">
        <v>-1</v>
      </c>
      <c r="R92" s="61"/>
      <c r="T92" s="207"/>
    </row>
    <row r="93" ht="15" customHeight="1">
      <c r="B93" s="12"/>
      <c r="C93" s="176"/>
      <c r="D93" s="177" t="s">
        <v>339</v>
      </c>
      <c r="E93" s="178">
        <v>0</v>
      </c>
      <c r="F93" s="179">
        <v>0</v>
      </c>
      <c r="G93" s="213"/>
      <c r="H93" s="213">
        <v>0</v>
      </c>
      <c r="I93" s="213">
        <v>0</v>
      </c>
      <c r="J93" s="213">
        <v>0</v>
      </c>
      <c r="K93" s="213">
        <v>0</v>
      </c>
      <c r="L93" s="213">
        <v>0</v>
      </c>
      <c r="M93" s="181"/>
      <c r="N93" s="182"/>
      <c r="O93" s="213">
        <v>51.5</v>
      </c>
      <c r="P93" s="213">
        <v>15.45</v>
      </c>
      <c r="Q93" s="214">
        <v>-1</v>
      </c>
      <c r="R93" s="61"/>
      <c r="T93" s="207"/>
    </row>
    <row r="94" ht="15" customHeight="1">
      <c r="B94" s="12"/>
      <c r="C94" s="176"/>
      <c r="D94" s="177" t="s">
        <v>340</v>
      </c>
      <c r="E94" s="178">
        <v>0</v>
      </c>
      <c r="F94" s="179">
        <v>0</v>
      </c>
      <c r="G94" s="213"/>
      <c r="H94" s="213">
        <v>0</v>
      </c>
      <c r="I94" s="213">
        <v>0</v>
      </c>
      <c r="J94" s="213">
        <v>0</v>
      </c>
      <c r="K94" s="213">
        <v>0</v>
      </c>
      <c r="L94" s="213">
        <v>0</v>
      </c>
      <c r="M94" s="181"/>
      <c r="N94" s="182"/>
      <c r="O94" s="213">
        <v>3</v>
      </c>
      <c r="P94" s="213">
        <v>0.9</v>
      </c>
      <c r="Q94" s="214">
        <v>-1</v>
      </c>
      <c r="R94" s="61"/>
      <c r="T94" s="207"/>
    </row>
    <row r="95" ht="15" customHeight="1">
      <c r="B95" s="12"/>
      <c r="C95" s="176"/>
      <c r="D95" s="177" t="s">
        <v>128</v>
      </c>
      <c r="E95" s="178">
        <v>1284</v>
      </c>
      <c r="F95" s="179">
        <v>17.589041095890412</v>
      </c>
      <c r="G95" s="213">
        <v>3.8179361370716896</v>
      </c>
      <c r="H95" s="213">
        <v>0.51</v>
      </c>
      <c r="I95" s="213">
        <v>186.99</v>
      </c>
      <c r="J95" s="213">
        <v>1.7162772585669781</v>
      </c>
      <c r="K95" s="213">
        <v>0.18</v>
      </c>
      <c r="L95" s="213">
        <v>65.45</v>
      </c>
      <c r="M95" s="181"/>
      <c r="N95" s="182"/>
      <c r="O95" s="213">
        <v>5.194296994457182</v>
      </c>
      <c r="P95" s="213">
        <v>2.2199663130734342</v>
      </c>
      <c r="Q95" s="214">
        <v>-0.22689189189189196</v>
      </c>
      <c r="R95" s="61"/>
      <c r="T95" s="207"/>
    </row>
    <row r="96" ht="15" customHeight="1">
      <c r="B96" s="12"/>
      <c r="C96" s="176"/>
      <c r="D96" s="177" t="s">
        <v>341</v>
      </c>
      <c r="E96" s="178">
        <v>0</v>
      </c>
      <c r="F96" s="179">
        <v>0</v>
      </c>
      <c r="G96" s="213"/>
      <c r="H96" s="213">
        <v>0</v>
      </c>
      <c r="I96" s="213">
        <v>0</v>
      </c>
      <c r="J96" s="213">
        <v>0</v>
      </c>
      <c r="K96" s="213">
        <v>0</v>
      </c>
      <c r="L96" s="213">
        <v>0</v>
      </c>
      <c r="M96" s="181"/>
      <c r="N96" s="182"/>
      <c r="O96" s="213">
        <v>2.18</v>
      </c>
      <c r="P96" s="213">
        <v>0.44</v>
      </c>
      <c r="Q96" s="214">
        <v>-1</v>
      </c>
      <c r="R96" s="61"/>
      <c r="T96" s="207"/>
    </row>
    <row r="97" ht="15" customHeight="1">
      <c r="B97" s="12"/>
      <c r="C97" s="176"/>
      <c r="D97" s="177" t="s">
        <v>138</v>
      </c>
      <c r="E97" s="178">
        <v>0</v>
      </c>
      <c r="F97" s="179">
        <v>0</v>
      </c>
      <c r="G97" s="213"/>
      <c r="H97" s="213">
        <v>0</v>
      </c>
      <c r="I97" s="213">
        <v>0</v>
      </c>
      <c r="J97" s="213">
        <v>0</v>
      </c>
      <c r="K97" s="213">
        <v>0</v>
      </c>
      <c r="L97" s="213">
        <v>0</v>
      </c>
      <c r="M97" s="181"/>
      <c r="N97" s="182"/>
      <c r="O97" s="213">
        <v>33.513513513513516</v>
      </c>
      <c r="P97" s="213">
        <v>13.405405405405405</v>
      </c>
      <c r="Q97" s="214">
        <v>-1</v>
      </c>
      <c r="R97" s="61"/>
      <c r="T97" s="207"/>
    </row>
    <row r="98" ht="15" customHeight="1">
      <c r="B98" s="12"/>
      <c r="C98" s="176"/>
      <c r="D98" s="177" t="s">
        <v>342</v>
      </c>
      <c r="E98" s="178">
        <v>0</v>
      </c>
      <c r="F98" s="179">
        <v>0</v>
      </c>
      <c r="G98" s="213"/>
      <c r="H98" s="213">
        <v>0</v>
      </c>
      <c r="I98" s="213">
        <v>0</v>
      </c>
      <c r="J98" s="213">
        <v>0</v>
      </c>
      <c r="K98" s="213">
        <v>0</v>
      </c>
      <c r="L98" s="213">
        <v>0</v>
      </c>
      <c r="M98" s="181"/>
      <c r="N98" s="182"/>
      <c r="O98" s="213">
        <v>22.487737556561086</v>
      </c>
      <c r="P98" s="213">
        <v>8.8615837104072419</v>
      </c>
      <c r="Q98" s="214">
        <v>-1</v>
      </c>
      <c r="R98" s="61"/>
      <c r="T98" s="207"/>
    </row>
    <row r="99" ht="15" customHeight="1">
      <c r="B99" s="12"/>
      <c r="C99" s="176"/>
      <c r="D99" s="177" t="s">
        <v>343</v>
      </c>
      <c r="E99" s="178">
        <v>0</v>
      </c>
      <c r="F99" s="179">
        <v>0</v>
      </c>
      <c r="G99" s="213"/>
      <c r="H99" s="213">
        <v>0</v>
      </c>
      <c r="I99" s="213">
        <v>0</v>
      </c>
      <c r="J99" s="213">
        <v>0</v>
      </c>
      <c r="K99" s="213">
        <v>0</v>
      </c>
      <c r="L99" s="213">
        <v>0</v>
      </c>
      <c r="M99" s="181"/>
      <c r="N99" s="182"/>
      <c r="O99" s="213">
        <v>12</v>
      </c>
      <c r="P99" s="213">
        <v>4.8</v>
      </c>
      <c r="Q99" s="214">
        <v>-1</v>
      </c>
      <c r="R99" s="61"/>
      <c r="T99" s="207"/>
    </row>
    <row r="100" ht="15" customHeight="1">
      <c r="B100" s="12"/>
      <c r="C100" s="176"/>
      <c r="D100" s="177" t="s">
        <v>344</v>
      </c>
      <c r="E100" s="178">
        <v>0</v>
      </c>
      <c r="F100" s="179">
        <v>0</v>
      </c>
      <c r="G100" s="213"/>
      <c r="H100" s="213">
        <v>0</v>
      </c>
      <c r="I100" s="213">
        <v>0</v>
      </c>
      <c r="J100" s="213">
        <v>0</v>
      </c>
      <c r="K100" s="213">
        <v>0</v>
      </c>
      <c r="L100" s="213">
        <v>0</v>
      </c>
      <c r="M100" s="181"/>
      <c r="N100" s="182"/>
      <c r="O100" s="213">
        <v>6.333333333333333</v>
      </c>
      <c r="P100" s="213">
        <v>1.8</v>
      </c>
      <c r="Q100" s="214">
        <v>-1</v>
      </c>
      <c r="R100" s="61"/>
      <c r="T100" s="207"/>
    </row>
    <row r="101" ht="15" customHeight="1">
      <c r="B101" s="12"/>
      <c r="C101" s="176"/>
      <c r="D101" s="177" t="s">
        <v>345</v>
      </c>
      <c r="E101" s="178">
        <v>0</v>
      </c>
      <c r="F101" s="179">
        <v>0</v>
      </c>
      <c r="G101" s="213"/>
      <c r="H101" s="213">
        <v>0</v>
      </c>
      <c r="I101" s="213">
        <v>0</v>
      </c>
      <c r="J101" s="213">
        <v>0</v>
      </c>
      <c r="K101" s="213">
        <v>0</v>
      </c>
      <c r="L101" s="213">
        <v>0</v>
      </c>
      <c r="M101" s="181"/>
      <c r="N101" s="182"/>
      <c r="O101" s="213">
        <v>130</v>
      </c>
      <c r="P101" s="213">
        <v>39</v>
      </c>
      <c r="Q101" s="214">
        <v>-1</v>
      </c>
      <c r="R101" s="61"/>
      <c r="T101" s="207"/>
    </row>
    <row r="102" ht="15" customHeight="1">
      <c r="B102" s="12"/>
      <c r="C102" s="139" t="s">
        <v>8</v>
      </c>
      <c r="D102" s="140"/>
      <c r="E102" s="128">
        <v>2532</v>
      </c>
      <c r="F102" s="129">
        <v>34.684931506849317</v>
      </c>
      <c r="G102" s="215">
        <v>31.733092417061634</v>
      </c>
      <c r="H102" s="215">
        <v>0.51</v>
      </c>
      <c r="I102" s="215">
        <v>1062.7</v>
      </c>
      <c r="J102" s="215">
        <v>16.005683254344387</v>
      </c>
      <c r="K102" s="215">
        <v>0.14</v>
      </c>
      <c r="L102" s="215">
        <v>850</v>
      </c>
      <c r="M102" s="131"/>
      <c r="N102" s="138"/>
      <c r="O102" s="215">
        <v>23.528982152554669</v>
      </c>
      <c r="P102" s="215">
        <v>10.967801913195912</v>
      </c>
      <c r="Q102" s="216">
        <v>0.45933372803598393</v>
      </c>
      <c r="R102" s="61"/>
    </row>
    <row r="103" ht="15" customHeight="1">
      <c r="B103" s="12"/>
      <c r="C103" s="4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61"/>
    </row>
    <row r="104" ht="15" customHeight="1">
      <c r="B104" s="12"/>
      <c r="C104" s="4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61"/>
    </row>
    <row r="105" ht="15" customHeight="1">
      <c r="B105" s="12"/>
      <c r="C105" s="140" t="s">
        <v>275</v>
      </c>
      <c r="D105" s="140"/>
      <c r="E105" s="4"/>
      <c r="F105" s="4"/>
      <c r="G105" s="4"/>
      <c r="H105" s="159">
        <v>0.3983</v>
      </c>
      <c r="I105" s="159">
        <v>0</v>
      </c>
      <c r="J105" s="159">
        <v>0.6017</v>
      </c>
      <c r="K105" s="4"/>
      <c r="L105" s="4"/>
      <c r="M105" s="4"/>
      <c r="N105" s="4"/>
      <c r="O105" s="4"/>
      <c r="P105" s="23"/>
      <c r="Q105" s="23"/>
      <c r="R105" s="61"/>
    </row>
    <row r="106" ht="15" customHeight="1">
      <c r="B106" s="12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23"/>
      <c r="Q106" s="23"/>
      <c r="R106" s="61"/>
    </row>
    <row r="107" ht="15" customHeight="1">
      <c r="B107" s="12"/>
      <c r="C107" s="140" t="s">
        <v>276</v>
      </c>
      <c r="D107" s="140"/>
      <c r="E107" s="4"/>
      <c r="F107" s="4"/>
      <c r="G107" s="130">
        <v>1100.66</v>
      </c>
      <c r="H107" s="130">
        <v>367.43</v>
      </c>
      <c r="I107" s="130">
        <v>0</v>
      </c>
      <c r="J107" s="130">
        <v>555.16</v>
      </c>
      <c r="K107" s="4"/>
      <c r="M107" s="4"/>
      <c r="N107" s="4"/>
      <c r="O107" s="4"/>
      <c r="P107" s="23"/>
      <c r="Q107" s="23"/>
      <c r="R107" s="61"/>
    </row>
    <row r="108" ht="15" customHeight="1">
      <c r="B108" s="12"/>
      <c r="C108" s="140" t="s">
        <v>277</v>
      </c>
      <c r="D108" s="140"/>
      <c r="E108" s="4"/>
      <c r="F108" s="4"/>
      <c r="G108" s="130">
        <v>2434.79</v>
      </c>
      <c r="H108" s="130">
        <v>812.81</v>
      </c>
      <c r="I108" s="130">
        <v>0</v>
      </c>
      <c r="J108" s="130">
        <v>1228.07</v>
      </c>
      <c r="K108" s="4"/>
      <c r="L108" s="4"/>
      <c r="M108" s="4"/>
      <c r="N108" s="4"/>
      <c r="O108" s="4"/>
      <c r="P108" s="23"/>
      <c r="Q108" s="23"/>
      <c r="R108" s="61"/>
    </row>
    <row r="109" ht="15" customHeight="1">
      <c r="B109" s="12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23"/>
      <c r="Q109" s="23"/>
      <c r="R109" s="61"/>
    </row>
    <row r="110" ht="15" customHeight="1">
      <c r="B110" s="12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23"/>
      <c r="Q110" s="23"/>
      <c r="R110" s="61"/>
    </row>
    <row r="111" ht="12" customHeight="1">
      <c r="B111" s="13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2"/>
      <c r="Q111" s="142"/>
      <c r="R111" s="62"/>
    </row>
    <row r="112" ht="15.75">
      <c r="G112" s="47"/>
      <c r="J112" s="47"/>
      <c r="K112" s="4"/>
      <c r="L112" s="4"/>
      <c r="M112" s="4"/>
      <c r="N112" s="4"/>
      <c r="O112" s="4"/>
      <c r="P112" s="23"/>
      <c r="Q112" s="23"/>
    </row>
    <row r="113" ht="15.75">
      <c r="G113" s="4"/>
      <c r="H113" s="217"/>
      <c r="I113" s="217"/>
      <c r="J113" s="4"/>
      <c r="K113" s="217"/>
      <c r="L113" s="217"/>
      <c r="M113" s="4"/>
      <c r="N113" s="4"/>
      <c r="O113" s="4"/>
      <c r="P113" s="23"/>
      <c r="Q113" s="23"/>
    </row>
    <row r="114">
      <c r="H114" s="4"/>
      <c r="I114" s="4"/>
      <c r="J114" s="4"/>
    </row>
  </sheetData>
  <mergeCells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4257812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67" t="str">
        <f>'Page de garde'!C13&amp;" : Analyse de la dépense médicale"</f>
        <v>60000016 - 60000017 - 60000018 - 60000087 : Analyse de la dépense médicale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72"/>
    </row>
    <row r="17">
      <c r="B17" s="12"/>
      <c r="S17" s="61"/>
    </row>
    <row r="18">
      <c r="B18" s="12"/>
      <c r="S18" s="61"/>
      <c r="V18" s="173" t="str">
        <f>'DATA QUARTILE'!C2</f>
        <v>ACTES DE PROPHYLAXIE ET PREVENTION</v>
      </c>
      <c r="W18" s="163"/>
      <c r="X18" s="164"/>
      <c r="Y18" s="173"/>
      <c r="Z18" s="163"/>
      <c r="AA18" s="164"/>
    </row>
    <row r="19">
      <c r="B19" s="12"/>
      <c r="S19" s="61"/>
      <c r="V19" s="165"/>
      <c r="X19" s="166" t="s">
        <v>53</v>
      </c>
      <c r="Y19" s="165"/>
      <c r="AA19" s="166" t="s">
        <v>53</v>
      </c>
    </row>
    <row r="20">
      <c r="B20" s="12"/>
      <c r="S20" s="61"/>
      <c r="V20" s="165" t="s">
        <v>253</v>
      </c>
      <c r="W20" s="167">
        <f>VLOOKUP($V$18,'DATA QUARTILE'!$C:$J,2,FALSE)</f>
        <v>0</v>
      </c>
      <c r="X20" s="170">
        <f>ROUND(VLOOKUP($V$18,'DATA QUARTILE'!$C:$J,8,FALSE),0)</f>
        <v>0</v>
      </c>
      <c r="Y20" s="165"/>
      <c r="Z20" s="167" t="e">
        <f>VLOOKUP($Y$18,'DATA QUARTILE'!$C:$J,2,FALSE)</f>
        <v>#N/A</v>
      </c>
      <c r="AA20" s="170" t="e">
        <f>ROUND(VLOOKUP($Y$18,'DATA QUARTILE'!$C:$J,8,FALSE),0)</f>
        <v>#N/A</v>
      </c>
    </row>
    <row r="21">
      <c r="B21" s="12"/>
      <c r="S21" s="61"/>
      <c r="V21" s="165" t="s">
        <v>254</v>
      </c>
      <c r="W21" s="167">
        <f>VLOOKUP($V$18,'DATA QUARTILE'!$C:$J,4,FALSE)</f>
        <v>0</v>
      </c>
      <c r="X21" s="170">
        <f>X20</f>
        <v>0</v>
      </c>
      <c r="Y21" s="165" t="s">
        <v>255</v>
      </c>
      <c r="Z21" s="167" t="e">
        <f>VLOOKUP($Y$18,'DATA QUARTILE'!$C:$J,4,FALSE)</f>
        <v>#N/A</v>
      </c>
      <c r="AA21" s="170" t="e">
        <f>AA20</f>
        <v>#N/A</v>
      </c>
    </row>
    <row r="22">
      <c r="B22" s="12"/>
      <c r="S22" s="61"/>
      <c r="V22" s="165" t="s">
        <v>256</v>
      </c>
      <c r="W22" s="167">
        <f>VLOOKUP($V$18,'DATA QUARTILE'!$C:$J,5,FALSE)</f>
        <v>0</v>
      </c>
      <c r="X22" s="170">
        <f>X21</f>
        <v>0</v>
      </c>
      <c r="Y22" s="165" t="s">
        <v>257</v>
      </c>
      <c r="Z22" s="167" t="e">
        <f>VLOOKUP($Y$18,'DATA QUARTILE'!$C:$J,5,FALSE)</f>
        <v>#N/A</v>
      </c>
      <c r="AA22" s="170" t="e">
        <f>AA21</f>
        <v>#N/A</v>
      </c>
    </row>
    <row r="23">
      <c r="B23" s="12"/>
      <c r="S23" s="61"/>
      <c r="V23" s="165" t="s">
        <v>258</v>
      </c>
      <c r="W23" s="167">
        <f>VLOOKUP($V$18,'DATA QUARTILE'!$C:$J,6,FALSE)</f>
        <v>0</v>
      </c>
      <c r="X23" s="170">
        <f>X22</f>
        <v>0</v>
      </c>
      <c r="Y23" s="165" t="s">
        <v>259</v>
      </c>
      <c r="Z23" s="167" t="e">
        <f>VLOOKUP($Y$18,'DATA QUARTILE'!$C:$J,6,FALSE)</f>
        <v>#N/A</v>
      </c>
      <c r="AA23" s="170" t="e">
        <f>AA22</f>
        <v>#N/A</v>
      </c>
    </row>
    <row r="24">
      <c r="B24" s="12"/>
      <c r="S24" s="61"/>
      <c r="V24" s="165" t="s">
        <v>260</v>
      </c>
      <c r="W24" s="167">
        <f>VLOOKUP($V$18,'DATA QUARTILE'!$C:$J,7,FALSE)</f>
        <v>0</v>
      </c>
      <c r="X24" s="170">
        <f>X23</f>
        <v>0</v>
      </c>
      <c r="Y24" s="165" t="s">
        <v>261</v>
      </c>
      <c r="Z24" s="167" t="e">
        <f>VLOOKUP($Y$18,'DATA QUARTILE'!$C:$J,7,FALSE)</f>
        <v>#N/A</v>
      </c>
      <c r="AA24" s="170" t="e">
        <f>AA23</f>
        <v>#N/A</v>
      </c>
    </row>
    <row r="25">
      <c r="B25" s="12"/>
      <c r="S25" s="61"/>
      <c r="V25" s="168" t="s">
        <v>262</v>
      </c>
      <c r="W25" s="169">
        <f>VLOOKUP($V$18,'DATA QUARTILE'!$C:$J,3,FALSE)</f>
        <v>0</v>
      </c>
      <c r="X25" s="171">
        <f>X24</f>
        <v>0</v>
      </c>
      <c r="Y25" s="168"/>
      <c r="Z25" s="169" t="e">
        <f>VLOOKUP($Y$18,'DATA QUARTILE'!$C:$J,3,FALSE)</f>
        <v>#N/A</v>
      </c>
      <c r="AA25" s="171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7109375" customWidth="1"/>
    <col min="23" max="23" width="11.42578125" customWidth="1"/>
    <col min="24" max="24" bestFit="1" width="9.42578125" customWidth="1"/>
    <col min="25" max="25" bestFit="1" width="35.7109375" customWidth="1"/>
    <col min="26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67" t="str">
        <f>'Page de garde'!C13&amp;" : Analyse de la dépense médicale optique"</f>
        <v>60000016 - 60000017 - 60000018 - 60000087 : Analyse de la dépense médicale optique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72"/>
    </row>
    <row r="17">
      <c r="B17" s="12"/>
      <c r="S17" s="61"/>
    </row>
    <row r="18">
      <c r="B18" s="12"/>
      <c r="S18" s="61"/>
      <c r="V18" s="173" t="str">
        <f>'DATA QUARTILE'!C3</f>
        <v>APPAREILLAGE REFUSE</v>
      </c>
      <c r="W18" s="163"/>
      <c r="X18" s="164"/>
      <c r="Y18" s="173"/>
      <c r="Z18" s="163"/>
      <c r="AA18" s="164"/>
    </row>
    <row r="19">
      <c r="B19" s="12"/>
      <c r="S19" s="61"/>
      <c r="V19" s="165"/>
      <c r="X19" s="166" t="s">
        <v>53</v>
      </c>
      <c r="Y19" s="165"/>
      <c r="AA19" s="166" t="s">
        <v>53</v>
      </c>
    </row>
    <row r="20">
      <c r="B20" s="12"/>
      <c r="S20" s="61"/>
      <c r="V20" s="165" t="s">
        <v>253</v>
      </c>
      <c r="W20" s="167">
        <f>VLOOKUP($V$18,'DATA QUARTILE'!$C:$J,2,FALSE)</f>
        <v>0</v>
      </c>
      <c r="X20" s="170">
        <f>ROUND(VLOOKUP($V$18,'DATA QUARTILE'!$C:$J,8,FALSE),0)</f>
        <v>0</v>
      </c>
      <c r="Y20" s="165"/>
      <c r="Z20" s="167" t="e">
        <f>VLOOKUP($Y$18,'DATA QUARTILE'!$C:$J,2,FALSE)</f>
        <v>#N/A</v>
      </c>
      <c r="AA20" s="170" t="e">
        <f>ROUND(VLOOKUP($Y$18,'DATA QUARTILE'!$C:$J,8,FALSE),0)</f>
        <v>#N/A</v>
      </c>
    </row>
    <row r="21">
      <c r="B21" s="12"/>
      <c r="S21" s="61"/>
      <c r="V21" s="165" t="s">
        <v>254</v>
      </c>
      <c r="W21" s="167">
        <f>VLOOKUP($V$18,'DATA QUARTILE'!$C:$J,4,FALSE)</f>
        <v>0</v>
      </c>
      <c r="X21" s="170">
        <f>X20</f>
        <v>0</v>
      </c>
      <c r="Y21" s="165" t="s">
        <v>255</v>
      </c>
      <c r="Z21" s="167" t="e">
        <f>VLOOKUP($Y$18,'DATA QUARTILE'!$C:$J,4,FALSE)</f>
        <v>#N/A</v>
      </c>
      <c r="AA21" s="170" t="e">
        <f>AA20</f>
        <v>#N/A</v>
      </c>
    </row>
    <row r="22">
      <c r="B22" s="12"/>
      <c r="S22" s="61"/>
      <c r="V22" s="165" t="s">
        <v>256</v>
      </c>
      <c r="W22" s="167">
        <f>VLOOKUP($V$18,'DATA QUARTILE'!$C:$J,5,FALSE)</f>
        <v>0</v>
      </c>
      <c r="X22" s="170">
        <f>X21</f>
        <v>0</v>
      </c>
      <c r="Y22" s="165" t="s">
        <v>257</v>
      </c>
      <c r="Z22" s="167" t="e">
        <f>VLOOKUP($Y$18,'DATA QUARTILE'!$C:$J,5,FALSE)</f>
        <v>#N/A</v>
      </c>
      <c r="AA22" s="170" t="e">
        <f>AA21</f>
        <v>#N/A</v>
      </c>
    </row>
    <row r="23">
      <c r="B23" s="12"/>
      <c r="S23" s="61"/>
      <c r="V23" s="165" t="s">
        <v>258</v>
      </c>
      <c r="W23" s="167">
        <f>VLOOKUP($V$18,'DATA QUARTILE'!$C:$J,6,FALSE)</f>
        <v>0</v>
      </c>
      <c r="X23" s="170">
        <f>X22</f>
        <v>0</v>
      </c>
      <c r="Y23" s="165" t="s">
        <v>259</v>
      </c>
      <c r="Z23" s="167" t="e">
        <f>VLOOKUP($Y$18,'DATA QUARTILE'!$C:$J,6,FALSE)</f>
        <v>#N/A</v>
      </c>
      <c r="AA23" s="170" t="e">
        <f>AA22</f>
        <v>#N/A</v>
      </c>
    </row>
    <row r="24">
      <c r="B24" s="12"/>
      <c r="S24" s="61"/>
      <c r="V24" s="165" t="s">
        <v>260</v>
      </c>
      <c r="W24" s="167">
        <f>VLOOKUP($V$18,'DATA QUARTILE'!$C:$J,7,FALSE)</f>
        <v>0</v>
      </c>
      <c r="X24" s="170">
        <f>X23</f>
        <v>0</v>
      </c>
      <c r="Y24" s="165" t="s">
        <v>261</v>
      </c>
      <c r="Z24" s="167" t="e">
        <f>VLOOKUP($Y$18,'DATA QUARTILE'!$C:$J,7,FALSE)</f>
        <v>#N/A</v>
      </c>
      <c r="AA24" s="170" t="e">
        <f>AA23</f>
        <v>#N/A</v>
      </c>
    </row>
    <row r="25">
      <c r="B25" s="12"/>
      <c r="S25" s="61"/>
      <c r="V25" s="168" t="s">
        <v>262</v>
      </c>
      <c r="W25" s="169">
        <f>VLOOKUP($V$18,'DATA QUARTILE'!$C:$J,3,FALSE)</f>
        <v>0</v>
      </c>
      <c r="X25" s="171">
        <f>X24</f>
        <v>0</v>
      </c>
      <c r="Y25" s="168"/>
      <c r="Z25" s="169" t="e">
        <f>VLOOKUP($Y$18,'DATA QUARTILE'!$C:$J,3,FALSE)</f>
        <v>#N/A</v>
      </c>
      <c r="AA25" s="171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4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67" t="str">
        <f>'Page de garde'!C13&amp;" : Analyse de la dépense médicale dentaire"</f>
        <v>60000016 - 60000017 - 60000018 - 60000087 : Analyse de la dépense médicale dentaire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72"/>
    </row>
    <row r="17">
      <c r="B17" s="12"/>
      <c r="S17" s="61"/>
    </row>
    <row r="18">
      <c r="B18" s="12"/>
      <c r="S18" s="61"/>
      <c r="V18" s="173" t="str">
        <f>'DATA QUARTILE'!C4</f>
        <v>AUTRES</v>
      </c>
      <c r="W18" s="163"/>
      <c r="X18" s="164"/>
      <c r="Y18" s="173"/>
      <c r="Z18" s="163"/>
      <c r="AA18" s="164"/>
    </row>
    <row r="19">
      <c r="B19" s="12"/>
      <c r="S19" s="61"/>
      <c r="V19" s="165"/>
      <c r="X19" s="166" t="s">
        <v>53</v>
      </c>
      <c r="Y19" s="165"/>
      <c r="AA19" s="166" t="s">
        <v>53</v>
      </c>
    </row>
    <row r="20">
      <c r="B20" s="12"/>
      <c r="S20" s="61"/>
      <c r="V20" s="165" t="s">
        <v>253</v>
      </c>
      <c r="W20" s="167">
        <f>VLOOKUP($V$18,'DATA QUARTILE'!$C:$J,2,FALSE)</f>
        <v>0</v>
      </c>
      <c r="X20" s="170">
        <f>ROUND(VLOOKUP($V$18,'DATA QUARTILE'!$C:$J,8,FALSE),0)</f>
        <v>0</v>
      </c>
      <c r="Y20" s="165"/>
      <c r="Z20" s="167" t="e">
        <f>VLOOKUP($Y$18,'DATA QUARTILE'!$C:$J,2,FALSE)</f>
        <v>#N/A</v>
      </c>
      <c r="AA20" s="170" t="e">
        <f>ROUND(VLOOKUP($Y$18,'DATA QUARTILE'!$C:$J,8,FALSE),0)</f>
        <v>#N/A</v>
      </c>
    </row>
    <row r="21">
      <c r="B21" s="12"/>
      <c r="S21" s="61"/>
      <c r="V21" s="165" t="s">
        <v>254</v>
      </c>
      <c r="W21" s="167">
        <f>VLOOKUP($V$18,'DATA QUARTILE'!$C:$J,4,FALSE)</f>
        <v>0</v>
      </c>
      <c r="X21" s="170">
        <f>X20</f>
        <v>0</v>
      </c>
      <c r="Y21" s="165" t="s">
        <v>255</v>
      </c>
      <c r="Z21" s="167" t="e">
        <f>VLOOKUP($Y$18,'DATA QUARTILE'!$C:$J,4,FALSE)</f>
        <v>#N/A</v>
      </c>
      <c r="AA21" s="170" t="e">
        <f>AA20</f>
        <v>#N/A</v>
      </c>
    </row>
    <row r="22">
      <c r="B22" s="12"/>
      <c r="S22" s="61"/>
      <c r="V22" s="165" t="s">
        <v>256</v>
      </c>
      <c r="W22" s="167">
        <f>VLOOKUP($V$18,'DATA QUARTILE'!$C:$J,5,FALSE)</f>
        <v>0</v>
      </c>
      <c r="X22" s="170">
        <f>X21</f>
        <v>0</v>
      </c>
      <c r="Y22" s="165" t="s">
        <v>257</v>
      </c>
      <c r="Z22" s="167" t="e">
        <f>VLOOKUP($Y$18,'DATA QUARTILE'!$C:$J,5,FALSE)</f>
        <v>#N/A</v>
      </c>
      <c r="AA22" s="170" t="e">
        <f>AA21</f>
        <v>#N/A</v>
      </c>
    </row>
    <row r="23">
      <c r="B23" s="12"/>
      <c r="S23" s="61"/>
      <c r="V23" s="165" t="s">
        <v>258</v>
      </c>
      <c r="W23" s="167">
        <f>VLOOKUP($V$18,'DATA QUARTILE'!$C:$J,6,FALSE)</f>
        <v>0</v>
      </c>
      <c r="X23" s="170">
        <f>X22</f>
        <v>0</v>
      </c>
      <c r="Y23" s="165" t="s">
        <v>259</v>
      </c>
      <c r="Z23" s="167" t="e">
        <f>VLOOKUP($Y$18,'DATA QUARTILE'!$C:$J,6,FALSE)</f>
        <v>#N/A</v>
      </c>
      <c r="AA23" s="170" t="e">
        <f>AA22</f>
        <v>#N/A</v>
      </c>
    </row>
    <row r="24">
      <c r="B24" s="12"/>
      <c r="S24" s="61"/>
      <c r="V24" s="165" t="s">
        <v>260</v>
      </c>
      <c r="W24" s="167">
        <f>VLOOKUP($V$18,'DATA QUARTILE'!$C:$J,7,FALSE)</f>
        <v>0</v>
      </c>
      <c r="X24" s="170">
        <f>X23</f>
        <v>0</v>
      </c>
      <c r="Y24" s="165" t="s">
        <v>261</v>
      </c>
      <c r="Z24" s="167" t="e">
        <f>VLOOKUP($Y$18,'DATA QUARTILE'!$C:$J,7,FALSE)</f>
        <v>#N/A</v>
      </c>
      <c r="AA24" s="170" t="e">
        <f>AA23</f>
        <v>#N/A</v>
      </c>
    </row>
    <row r="25">
      <c r="B25" s="12"/>
      <c r="S25" s="61"/>
      <c r="V25" s="168" t="s">
        <v>262</v>
      </c>
      <c r="W25" s="169">
        <f>VLOOKUP($V$18,'DATA QUARTILE'!$C:$J,3,FALSE)</f>
        <v>0</v>
      </c>
      <c r="X25" s="171">
        <f>X24</f>
        <v>0</v>
      </c>
      <c r="Y25" s="168"/>
      <c r="Z25" s="169" t="e">
        <f>VLOOKUP($Y$18,'DATA QUARTILE'!$C:$J,3,FALSE)</f>
        <v>#N/A</v>
      </c>
      <c r="AA25" s="171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92"/>
  <sheetViews>
    <sheetView zoomScale="85" zoomScaleNormal="85" workbookViewId="0">
      <selection activeCell="A2" sqref="A2:XFD176"/>
    </sheetView>
  </sheetViews>
  <sheetFormatPr defaultColWidth="11.42578125" defaultRowHeight="15"/>
  <cols>
    <col min="1" max="1" bestFit="1" width="7.140625" customWidth="1"/>
    <col min="2" max="2" bestFit="1" width="21" customWidth="1"/>
    <col min="3" max="3" bestFit="1" width="4.7109375" customWidth="1"/>
    <col min="4" max="4" bestFit="1" width="9.5703125" customWidth="1"/>
    <col min="5" max="5" bestFit="1" width="8.7109375" customWidth="1"/>
    <col min="6" max="6" bestFit="1" width="25.85546875" customWidth="1"/>
    <col min="7" max="7" bestFit="1" width="14.5703125" customWidth="1"/>
    <col min="8" max="8" bestFit="1" width="20.140625" customWidth="1"/>
    <col min="9" max="9" bestFit="1" width="38" customWidth="1"/>
    <col min="10" max="10" bestFit="1" width="16.42578125" customWidth="1"/>
    <col min="11" max="13" width="11.42578125" customWidth="1"/>
  </cols>
  <sheetData>
    <row r="1">
      <c r="A1" s="0" t="s">
        <v>169</v>
      </c>
      <c r="B1" s="0" t="s">
        <v>173</v>
      </c>
      <c r="C1" s="0" t="s">
        <v>174</v>
      </c>
      <c r="D1" s="0" t="s">
        <v>175</v>
      </c>
      <c r="E1" s="0" t="s">
        <v>176</v>
      </c>
      <c r="F1" s="0" t="s">
        <v>177</v>
      </c>
      <c r="G1" s="0" t="s">
        <v>178</v>
      </c>
      <c r="H1" s="0" t="s">
        <v>179</v>
      </c>
      <c r="I1" s="0" t="s">
        <v>180</v>
      </c>
      <c r="J1" s="0" t="s">
        <v>146</v>
      </c>
    </row>
    <row r="2">
      <c r="A2" s="0">
        <v>2020</v>
      </c>
      <c r="B2" s="0" t="s">
        <v>181</v>
      </c>
      <c r="C2" s="0">
        <v>1</v>
      </c>
      <c r="D2" s="0" t="s">
        <v>182</v>
      </c>
      <c r="E2" s="0" t="s">
        <v>183</v>
      </c>
      <c r="F2" s="0" t="s">
        <v>184</v>
      </c>
      <c r="G2" s="0">
        <v>3</v>
      </c>
      <c r="H2" s="0">
        <v>3</v>
      </c>
      <c r="I2" s="0" t="s">
        <v>39</v>
      </c>
      <c r="J2" s="0" t="s">
        <v>36</v>
      </c>
    </row>
    <row r="3">
      <c r="A3" s="0">
        <v>2020</v>
      </c>
      <c r="B3" s="0" t="s">
        <v>181</v>
      </c>
      <c r="C3" s="0">
        <v>1</v>
      </c>
      <c r="D3" s="0" t="s">
        <v>185</v>
      </c>
      <c r="E3" s="0" t="s">
        <v>183</v>
      </c>
      <c r="F3" s="0" t="s">
        <v>184</v>
      </c>
      <c r="G3" s="0">
        <v>1</v>
      </c>
      <c r="H3" s="0">
        <v>1</v>
      </c>
      <c r="I3" s="0" t="s">
        <v>39</v>
      </c>
      <c r="J3" s="0" t="s">
        <v>36</v>
      </c>
    </row>
    <row r="4">
      <c r="A4" s="0">
        <v>2020</v>
      </c>
      <c r="B4" s="0" t="s">
        <v>181</v>
      </c>
      <c r="C4" s="0">
        <v>2</v>
      </c>
      <c r="D4" s="0" t="s">
        <v>185</v>
      </c>
      <c r="E4" s="0" t="s">
        <v>183</v>
      </c>
      <c r="F4" s="0" t="s">
        <v>184</v>
      </c>
      <c r="G4" s="0">
        <v>1</v>
      </c>
      <c r="H4" s="0">
        <v>2</v>
      </c>
      <c r="I4" s="0" t="s">
        <v>39</v>
      </c>
      <c r="J4" s="0" t="s">
        <v>36</v>
      </c>
    </row>
    <row r="5">
      <c r="A5" s="0">
        <v>2020</v>
      </c>
      <c r="B5" s="0" t="s">
        <v>181</v>
      </c>
      <c r="C5" s="0">
        <v>3</v>
      </c>
      <c r="D5" s="0" t="s">
        <v>182</v>
      </c>
      <c r="E5" s="0" t="s">
        <v>183</v>
      </c>
      <c r="F5" s="0" t="s">
        <v>184</v>
      </c>
      <c r="G5" s="0">
        <v>2</v>
      </c>
      <c r="H5" s="0">
        <v>6</v>
      </c>
      <c r="I5" s="0" t="s">
        <v>39</v>
      </c>
      <c r="J5" s="0" t="s">
        <v>36</v>
      </c>
    </row>
    <row r="6">
      <c r="A6" s="0">
        <v>2020</v>
      </c>
      <c r="B6" s="0" t="s">
        <v>181</v>
      </c>
      <c r="C6" s="0">
        <v>3</v>
      </c>
      <c r="D6" s="0" t="s">
        <v>185</v>
      </c>
      <c r="E6" s="0" t="s">
        <v>183</v>
      </c>
      <c r="F6" s="0" t="s">
        <v>184</v>
      </c>
      <c r="G6" s="0">
        <v>1</v>
      </c>
      <c r="H6" s="0">
        <v>3</v>
      </c>
      <c r="I6" s="0" t="s">
        <v>39</v>
      </c>
      <c r="J6" s="0" t="s">
        <v>36</v>
      </c>
    </row>
    <row r="7">
      <c r="A7" s="0">
        <v>2020</v>
      </c>
      <c r="B7" s="0" t="s">
        <v>181</v>
      </c>
      <c r="C7" s="0">
        <v>4</v>
      </c>
      <c r="D7" s="0" t="s">
        <v>182</v>
      </c>
      <c r="E7" s="0" t="s">
        <v>183</v>
      </c>
      <c r="F7" s="0" t="s">
        <v>184</v>
      </c>
      <c r="G7" s="0">
        <v>2</v>
      </c>
      <c r="H7" s="0">
        <v>8</v>
      </c>
      <c r="I7" s="0" t="s">
        <v>39</v>
      </c>
      <c r="J7" s="0" t="s">
        <v>36</v>
      </c>
    </row>
    <row r="8">
      <c r="A8" s="0">
        <v>2020</v>
      </c>
      <c r="B8" s="0" t="s">
        <v>181</v>
      </c>
      <c r="C8" s="0">
        <v>5</v>
      </c>
      <c r="D8" s="0" t="s">
        <v>182</v>
      </c>
      <c r="E8" s="0" t="s">
        <v>183</v>
      </c>
      <c r="F8" s="0" t="s">
        <v>184</v>
      </c>
      <c r="G8" s="0">
        <v>1</v>
      </c>
      <c r="H8" s="0">
        <v>5</v>
      </c>
      <c r="I8" s="0" t="s">
        <v>39</v>
      </c>
      <c r="J8" s="0" t="s">
        <v>36</v>
      </c>
    </row>
    <row r="9">
      <c r="A9" s="0">
        <v>2020</v>
      </c>
      <c r="B9" s="0" t="s">
        <v>181</v>
      </c>
      <c r="C9" s="0">
        <v>6</v>
      </c>
      <c r="D9" s="0" t="s">
        <v>185</v>
      </c>
      <c r="E9" s="0" t="s">
        <v>183</v>
      </c>
      <c r="F9" s="0" t="s">
        <v>184</v>
      </c>
      <c r="G9" s="0">
        <v>1</v>
      </c>
      <c r="H9" s="0">
        <v>6</v>
      </c>
      <c r="I9" s="0" t="s">
        <v>39</v>
      </c>
      <c r="J9" s="0" t="s">
        <v>36</v>
      </c>
    </row>
    <row r="10">
      <c r="A10" s="0">
        <v>2020</v>
      </c>
      <c r="B10" s="0" t="s">
        <v>181</v>
      </c>
      <c r="C10" s="0">
        <v>10</v>
      </c>
      <c r="D10" s="0" t="s">
        <v>185</v>
      </c>
      <c r="E10" s="0" t="s">
        <v>183</v>
      </c>
      <c r="F10" s="0" t="s">
        <v>184</v>
      </c>
      <c r="G10" s="0">
        <v>1</v>
      </c>
      <c r="H10" s="0">
        <v>10</v>
      </c>
      <c r="I10" s="0" t="s">
        <v>39</v>
      </c>
      <c r="J10" s="0" t="s">
        <v>36</v>
      </c>
    </row>
    <row r="11">
      <c r="A11" s="0">
        <v>2020</v>
      </c>
      <c r="B11" s="0" t="s">
        <v>181</v>
      </c>
      <c r="C11" s="0">
        <v>16</v>
      </c>
      <c r="D11" s="0" t="s">
        <v>185</v>
      </c>
      <c r="E11" s="0" t="s">
        <v>183</v>
      </c>
      <c r="F11" s="0" t="s">
        <v>184</v>
      </c>
      <c r="G11" s="0">
        <v>1</v>
      </c>
      <c r="H11" s="0">
        <v>16</v>
      </c>
      <c r="I11" s="0" t="s">
        <v>39</v>
      </c>
      <c r="J11" s="0" t="s">
        <v>36</v>
      </c>
    </row>
    <row r="12">
      <c r="A12" s="0">
        <v>2020</v>
      </c>
      <c r="B12" s="0" t="s">
        <v>181</v>
      </c>
      <c r="C12" s="0">
        <v>22</v>
      </c>
      <c r="D12" s="0" t="s">
        <v>182</v>
      </c>
      <c r="E12" s="0" t="s">
        <v>186</v>
      </c>
      <c r="F12" s="0" t="s">
        <v>184</v>
      </c>
      <c r="G12" s="0">
        <v>1</v>
      </c>
      <c r="H12" s="0">
        <v>22</v>
      </c>
      <c r="I12" s="0" t="s">
        <v>39</v>
      </c>
      <c r="J12" s="0" t="s">
        <v>36</v>
      </c>
    </row>
    <row r="13">
      <c r="A13" s="0">
        <v>2020</v>
      </c>
      <c r="B13" s="0" t="s">
        <v>181</v>
      </c>
      <c r="C13" s="0">
        <v>24</v>
      </c>
      <c r="D13" s="0" t="s">
        <v>185</v>
      </c>
      <c r="E13" s="0" t="s">
        <v>186</v>
      </c>
      <c r="F13" s="0" t="s">
        <v>184</v>
      </c>
      <c r="G13" s="0">
        <v>1</v>
      </c>
      <c r="H13" s="0">
        <v>24</v>
      </c>
      <c r="I13" s="0" t="s">
        <v>39</v>
      </c>
      <c r="J13" s="0" t="s">
        <v>36</v>
      </c>
    </row>
    <row r="14">
      <c r="A14" s="0">
        <v>2020</v>
      </c>
      <c r="B14" s="0" t="s">
        <v>181</v>
      </c>
      <c r="C14" s="0">
        <v>27</v>
      </c>
      <c r="D14" s="0" t="s">
        <v>182</v>
      </c>
      <c r="E14" s="0" t="s">
        <v>186</v>
      </c>
      <c r="F14" s="0" t="s">
        <v>187</v>
      </c>
      <c r="G14" s="0">
        <v>2</v>
      </c>
      <c r="H14" s="0">
        <v>54</v>
      </c>
      <c r="I14" s="0" t="s">
        <v>39</v>
      </c>
      <c r="J14" s="0" t="s">
        <v>36</v>
      </c>
    </row>
    <row r="15">
      <c r="A15" s="0">
        <v>2020</v>
      </c>
      <c r="B15" s="0" t="s">
        <v>181</v>
      </c>
      <c r="C15" s="0">
        <v>27</v>
      </c>
      <c r="D15" s="0" t="s">
        <v>185</v>
      </c>
      <c r="E15" s="0" t="s">
        <v>186</v>
      </c>
      <c r="F15" s="0" t="s">
        <v>187</v>
      </c>
      <c r="G15" s="0">
        <v>3</v>
      </c>
      <c r="H15" s="0">
        <v>81</v>
      </c>
      <c r="I15" s="0" t="s">
        <v>39</v>
      </c>
      <c r="J15" s="0" t="s">
        <v>36</v>
      </c>
    </row>
    <row r="16">
      <c r="A16" s="0">
        <v>2020</v>
      </c>
      <c r="B16" s="0" t="s">
        <v>181</v>
      </c>
      <c r="C16" s="0">
        <v>27</v>
      </c>
      <c r="D16" s="0" t="s">
        <v>185</v>
      </c>
      <c r="E16" s="0" t="s">
        <v>188</v>
      </c>
      <c r="F16" s="0" t="s">
        <v>187</v>
      </c>
      <c r="G16" s="0">
        <v>1</v>
      </c>
      <c r="H16" s="0">
        <v>27</v>
      </c>
      <c r="I16" s="0" t="s">
        <v>39</v>
      </c>
      <c r="J16" s="0" t="s">
        <v>36</v>
      </c>
    </row>
    <row r="17">
      <c r="A17" s="0">
        <v>2020</v>
      </c>
      <c r="B17" s="0" t="s">
        <v>181</v>
      </c>
      <c r="C17" s="0">
        <v>28</v>
      </c>
      <c r="D17" s="0" t="s">
        <v>185</v>
      </c>
      <c r="E17" s="0" t="s">
        <v>186</v>
      </c>
      <c r="F17" s="0" t="s">
        <v>187</v>
      </c>
      <c r="G17" s="0">
        <v>1</v>
      </c>
      <c r="H17" s="0">
        <v>28</v>
      </c>
      <c r="I17" s="0" t="s">
        <v>39</v>
      </c>
      <c r="J17" s="0" t="s">
        <v>36</v>
      </c>
    </row>
    <row r="18">
      <c r="A18" s="0">
        <v>2020</v>
      </c>
      <c r="B18" s="0" t="s">
        <v>181</v>
      </c>
      <c r="C18" s="0">
        <v>29</v>
      </c>
      <c r="D18" s="0" t="s">
        <v>182</v>
      </c>
      <c r="E18" s="0" t="s">
        <v>186</v>
      </c>
      <c r="F18" s="0" t="s">
        <v>187</v>
      </c>
      <c r="G18" s="0">
        <v>1</v>
      </c>
      <c r="H18" s="0">
        <v>29</v>
      </c>
      <c r="I18" s="0" t="s">
        <v>39</v>
      </c>
      <c r="J18" s="0" t="s">
        <v>36</v>
      </c>
    </row>
    <row r="19">
      <c r="A19" s="0">
        <v>2020</v>
      </c>
      <c r="B19" s="0" t="s">
        <v>181</v>
      </c>
      <c r="C19" s="0">
        <v>29</v>
      </c>
      <c r="D19" s="0" t="s">
        <v>185</v>
      </c>
      <c r="E19" s="0" t="s">
        <v>186</v>
      </c>
      <c r="F19" s="0" t="s">
        <v>187</v>
      </c>
      <c r="G19" s="0">
        <v>2</v>
      </c>
      <c r="H19" s="0">
        <v>58</v>
      </c>
      <c r="I19" s="0" t="s">
        <v>39</v>
      </c>
      <c r="J19" s="0" t="s">
        <v>36</v>
      </c>
    </row>
    <row r="20">
      <c r="A20" s="0">
        <v>2020</v>
      </c>
      <c r="B20" s="0" t="s">
        <v>181</v>
      </c>
      <c r="C20" s="0">
        <v>30</v>
      </c>
      <c r="D20" s="0" t="s">
        <v>182</v>
      </c>
      <c r="E20" s="0" t="s">
        <v>186</v>
      </c>
      <c r="F20" s="0" t="s">
        <v>189</v>
      </c>
      <c r="G20" s="0">
        <v>2</v>
      </c>
      <c r="H20" s="0">
        <v>60</v>
      </c>
      <c r="I20" s="0" t="s">
        <v>39</v>
      </c>
      <c r="J20" s="0" t="s">
        <v>36</v>
      </c>
    </row>
    <row r="21">
      <c r="A21" s="0">
        <v>2020</v>
      </c>
      <c r="B21" s="0" t="s">
        <v>181</v>
      </c>
      <c r="C21" s="0">
        <v>31</v>
      </c>
      <c r="D21" s="0" t="s">
        <v>182</v>
      </c>
      <c r="E21" s="0" t="s">
        <v>186</v>
      </c>
      <c r="F21" s="0" t="s">
        <v>189</v>
      </c>
      <c r="G21" s="0">
        <v>1</v>
      </c>
      <c r="H21" s="0">
        <v>31</v>
      </c>
      <c r="I21" s="0" t="s">
        <v>39</v>
      </c>
      <c r="J21" s="0" t="s">
        <v>36</v>
      </c>
    </row>
    <row r="22">
      <c r="A22" s="0">
        <v>2020</v>
      </c>
      <c r="B22" s="0" t="s">
        <v>181</v>
      </c>
      <c r="C22" s="0">
        <v>31</v>
      </c>
      <c r="D22" s="0" t="s">
        <v>185</v>
      </c>
      <c r="E22" s="0" t="s">
        <v>186</v>
      </c>
      <c r="F22" s="0" t="s">
        <v>189</v>
      </c>
      <c r="G22" s="0">
        <v>5</v>
      </c>
      <c r="H22" s="0">
        <v>155</v>
      </c>
      <c r="I22" s="0" t="s">
        <v>39</v>
      </c>
      <c r="J22" s="0" t="s">
        <v>36</v>
      </c>
    </row>
    <row r="23">
      <c r="A23" s="0">
        <v>2020</v>
      </c>
      <c r="B23" s="0" t="s">
        <v>181</v>
      </c>
      <c r="C23" s="0">
        <v>32</v>
      </c>
      <c r="D23" s="0" t="s">
        <v>185</v>
      </c>
      <c r="E23" s="0" t="s">
        <v>186</v>
      </c>
      <c r="F23" s="0" t="s">
        <v>189</v>
      </c>
      <c r="G23" s="0">
        <v>3</v>
      </c>
      <c r="H23" s="0">
        <v>96</v>
      </c>
      <c r="I23" s="0" t="s">
        <v>39</v>
      </c>
      <c r="J23" s="0" t="s">
        <v>36</v>
      </c>
    </row>
    <row r="24">
      <c r="A24" s="0">
        <v>2020</v>
      </c>
      <c r="B24" s="0" t="s">
        <v>181</v>
      </c>
      <c r="C24" s="0">
        <v>32</v>
      </c>
      <c r="D24" s="0" t="s">
        <v>185</v>
      </c>
      <c r="E24" s="0" t="s">
        <v>188</v>
      </c>
      <c r="F24" s="0" t="s">
        <v>189</v>
      </c>
      <c r="G24" s="0">
        <v>1</v>
      </c>
      <c r="H24" s="0">
        <v>32</v>
      </c>
      <c r="I24" s="0" t="s">
        <v>39</v>
      </c>
      <c r="J24" s="0" t="s">
        <v>36</v>
      </c>
    </row>
    <row r="25">
      <c r="A25" s="0">
        <v>2020</v>
      </c>
      <c r="B25" s="0" t="s">
        <v>181</v>
      </c>
      <c r="C25" s="0">
        <v>33</v>
      </c>
      <c r="D25" s="0" t="s">
        <v>182</v>
      </c>
      <c r="E25" s="0" t="s">
        <v>186</v>
      </c>
      <c r="F25" s="0" t="s">
        <v>189</v>
      </c>
      <c r="G25" s="0">
        <v>1</v>
      </c>
      <c r="H25" s="0">
        <v>33</v>
      </c>
      <c r="I25" s="0" t="s">
        <v>39</v>
      </c>
      <c r="J25" s="0" t="s">
        <v>36</v>
      </c>
    </row>
    <row r="26">
      <c r="A26" s="0">
        <v>2020</v>
      </c>
      <c r="B26" s="0" t="s">
        <v>181</v>
      </c>
      <c r="C26" s="0">
        <v>33</v>
      </c>
      <c r="D26" s="0" t="s">
        <v>182</v>
      </c>
      <c r="E26" s="0" t="s">
        <v>188</v>
      </c>
      <c r="F26" s="0" t="s">
        <v>189</v>
      </c>
      <c r="G26" s="0">
        <v>1</v>
      </c>
      <c r="H26" s="0">
        <v>33</v>
      </c>
      <c r="I26" s="0" t="s">
        <v>39</v>
      </c>
      <c r="J26" s="0" t="s">
        <v>36</v>
      </c>
    </row>
    <row r="27">
      <c r="A27" s="0">
        <v>2020</v>
      </c>
      <c r="B27" s="0" t="s">
        <v>181</v>
      </c>
      <c r="C27" s="0">
        <v>33</v>
      </c>
      <c r="D27" s="0" t="s">
        <v>185</v>
      </c>
      <c r="E27" s="0" t="s">
        <v>186</v>
      </c>
      <c r="F27" s="0" t="s">
        <v>189</v>
      </c>
      <c r="G27" s="0">
        <v>1</v>
      </c>
      <c r="H27" s="0">
        <v>33</v>
      </c>
      <c r="I27" s="0" t="s">
        <v>39</v>
      </c>
      <c r="J27" s="0" t="s">
        <v>36</v>
      </c>
    </row>
    <row r="28">
      <c r="A28" s="0">
        <v>2020</v>
      </c>
      <c r="B28" s="0" t="s">
        <v>181</v>
      </c>
      <c r="C28" s="0">
        <v>34</v>
      </c>
      <c r="D28" s="0" t="s">
        <v>182</v>
      </c>
      <c r="E28" s="0" t="s">
        <v>186</v>
      </c>
      <c r="F28" s="0" t="s">
        <v>189</v>
      </c>
      <c r="G28" s="0">
        <v>2</v>
      </c>
      <c r="H28" s="0">
        <v>68</v>
      </c>
      <c r="I28" s="0" t="s">
        <v>39</v>
      </c>
      <c r="J28" s="0" t="s">
        <v>36</v>
      </c>
    </row>
    <row r="29">
      <c r="A29" s="0">
        <v>2020</v>
      </c>
      <c r="B29" s="0" t="s">
        <v>181</v>
      </c>
      <c r="C29" s="0">
        <v>34</v>
      </c>
      <c r="D29" s="0" t="s">
        <v>185</v>
      </c>
      <c r="E29" s="0" t="s">
        <v>186</v>
      </c>
      <c r="F29" s="0" t="s">
        <v>189</v>
      </c>
      <c r="G29" s="0">
        <v>1</v>
      </c>
      <c r="H29" s="0">
        <v>34</v>
      </c>
      <c r="I29" s="0" t="s">
        <v>39</v>
      </c>
      <c r="J29" s="0" t="s">
        <v>36</v>
      </c>
    </row>
    <row r="30">
      <c r="A30" s="0">
        <v>2020</v>
      </c>
      <c r="B30" s="0" t="s">
        <v>181</v>
      </c>
      <c r="C30" s="0">
        <v>35</v>
      </c>
      <c r="D30" s="0" t="s">
        <v>182</v>
      </c>
      <c r="E30" s="0" t="s">
        <v>186</v>
      </c>
      <c r="F30" s="0" t="s">
        <v>190</v>
      </c>
      <c r="G30" s="0">
        <v>6</v>
      </c>
      <c r="H30" s="0">
        <v>210</v>
      </c>
      <c r="I30" s="0" t="s">
        <v>39</v>
      </c>
      <c r="J30" s="0" t="s">
        <v>36</v>
      </c>
    </row>
    <row r="31">
      <c r="A31" s="0">
        <v>2020</v>
      </c>
      <c r="B31" s="0" t="s">
        <v>181</v>
      </c>
      <c r="C31" s="0">
        <v>35</v>
      </c>
      <c r="D31" s="0" t="s">
        <v>182</v>
      </c>
      <c r="E31" s="0" t="s">
        <v>188</v>
      </c>
      <c r="F31" s="0" t="s">
        <v>190</v>
      </c>
      <c r="G31" s="0">
        <v>1</v>
      </c>
      <c r="H31" s="0">
        <v>35</v>
      </c>
      <c r="I31" s="0" t="s">
        <v>39</v>
      </c>
      <c r="J31" s="0" t="s">
        <v>36</v>
      </c>
    </row>
    <row r="32">
      <c r="A32" s="0">
        <v>2020</v>
      </c>
      <c r="B32" s="0" t="s">
        <v>181</v>
      </c>
      <c r="C32" s="0">
        <v>35</v>
      </c>
      <c r="D32" s="0" t="s">
        <v>185</v>
      </c>
      <c r="E32" s="0" t="s">
        <v>186</v>
      </c>
      <c r="F32" s="0" t="s">
        <v>190</v>
      </c>
      <c r="G32" s="0">
        <v>5</v>
      </c>
      <c r="H32" s="0">
        <v>175</v>
      </c>
      <c r="I32" s="0" t="s">
        <v>39</v>
      </c>
      <c r="J32" s="0" t="s">
        <v>36</v>
      </c>
    </row>
    <row r="33">
      <c r="A33" s="0">
        <v>2020</v>
      </c>
      <c r="B33" s="0" t="s">
        <v>181</v>
      </c>
      <c r="C33" s="0">
        <v>36</v>
      </c>
      <c r="D33" s="0" t="s">
        <v>182</v>
      </c>
      <c r="E33" s="0" t="s">
        <v>186</v>
      </c>
      <c r="F33" s="0" t="s">
        <v>190</v>
      </c>
      <c r="G33" s="0">
        <v>1</v>
      </c>
      <c r="H33" s="0">
        <v>36</v>
      </c>
      <c r="I33" s="0" t="s">
        <v>39</v>
      </c>
      <c r="J33" s="0" t="s">
        <v>36</v>
      </c>
    </row>
    <row r="34">
      <c r="A34" s="0">
        <v>2020</v>
      </c>
      <c r="B34" s="0" t="s">
        <v>181</v>
      </c>
      <c r="C34" s="0">
        <v>36</v>
      </c>
      <c r="D34" s="0" t="s">
        <v>185</v>
      </c>
      <c r="E34" s="0" t="s">
        <v>186</v>
      </c>
      <c r="F34" s="0" t="s">
        <v>190</v>
      </c>
      <c r="G34" s="0">
        <v>1</v>
      </c>
      <c r="H34" s="0">
        <v>36</v>
      </c>
      <c r="I34" s="0" t="s">
        <v>39</v>
      </c>
      <c r="J34" s="0" t="s">
        <v>36</v>
      </c>
    </row>
    <row r="35">
      <c r="A35" s="0">
        <v>2020</v>
      </c>
      <c r="B35" s="0" t="s">
        <v>181</v>
      </c>
      <c r="C35" s="0">
        <v>37</v>
      </c>
      <c r="D35" s="0" t="s">
        <v>182</v>
      </c>
      <c r="E35" s="0" t="s">
        <v>186</v>
      </c>
      <c r="F35" s="0" t="s">
        <v>190</v>
      </c>
      <c r="G35" s="0">
        <v>2</v>
      </c>
      <c r="H35" s="0">
        <v>74</v>
      </c>
      <c r="I35" s="0" t="s">
        <v>39</v>
      </c>
      <c r="J35" s="0" t="s">
        <v>36</v>
      </c>
    </row>
    <row r="36">
      <c r="A36" s="0">
        <v>2020</v>
      </c>
      <c r="B36" s="0" t="s">
        <v>181</v>
      </c>
      <c r="C36" s="0">
        <v>37</v>
      </c>
      <c r="D36" s="0" t="s">
        <v>185</v>
      </c>
      <c r="E36" s="0" t="s">
        <v>186</v>
      </c>
      <c r="F36" s="0" t="s">
        <v>190</v>
      </c>
      <c r="G36" s="0">
        <v>1</v>
      </c>
      <c r="H36" s="0">
        <v>37</v>
      </c>
      <c r="I36" s="0" t="s">
        <v>39</v>
      </c>
      <c r="J36" s="0" t="s">
        <v>36</v>
      </c>
    </row>
    <row r="37">
      <c r="A37" s="0">
        <v>2020</v>
      </c>
      <c r="B37" s="0" t="s">
        <v>181</v>
      </c>
      <c r="C37" s="0">
        <v>38</v>
      </c>
      <c r="D37" s="0" t="s">
        <v>182</v>
      </c>
      <c r="E37" s="0" t="s">
        <v>186</v>
      </c>
      <c r="F37" s="0" t="s">
        <v>190</v>
      </c>
      <c r="G37" s="0">
        <v>1</v>
      </c>
      <c r="H37" s="0">
        <v>38</v>
      </c>
      <c r="I37" s="0" t="s">
        <v>39</v>
      </c>
      <c r="J37" s="0" t="s">
        <v>36</v>
      </c>
    </row>
    <row r="38">
      <c r="A38" s="0">
        <v>2020</v>
      </c>
      <c r="B38" s="0" t="s">
        <v>181</v>
      </c>
      <c r="C38" s="0">
        <v>38</v>
      </c>
      <c r="D38" s="0" t="s">
        <v>185</v>
      </c>
      <c r="E38" s="0" t="s">
        <v>186</v>
      </c>
      <c r="F38" s="0" t="s">
        <v>190</v>
      </c>
      <c r="G38" s="0">
        <v>2</v>
      </c>
      <c r="H38" s="0">
        <v>76</v>
      </c>
      <c r="I38" s="0" t="s">
        <v>39</v>
      </c>
      <c r="J38" s="0" t="s">
        <v>36</v>
      </c>
    </row>
    <row r="39">
      <c r="A39" s="0">
        <v>2020</v>
      </c>
      <c r="B39" s="0" t="s">
        <v>181</v>
      </c>
      <c r="C39" s="0">
        <v>39</v>
      </c>
      <c r="D39" s="0" t="s">
        <v>185</v>
      </c>
      <c r="E39" s="0" t="s">
        <v>186</v>
      </c>
      <c r="F39" s="0" t="s">
        <v>190</v>
      </c>
      <c r="G39" s="0">
        <v>2</v>
      </c>
      <c r="H39" s="0">
        <v>78</v>
      </c>
      <c r="I39" s="0" t="s">
        <v>39</v>
      </c>
      <c r="J39" s="0" t="s">
        <v>36</v>
      </c>
    </row>
    <row r="40">
      <c r="A40" s="0">
        <v>2020</v>
      </c>
      <c r="B40" s="0" t="s">
        <v>181</v>
      </c>
      <c r="C40" s="0">
        <v>39</v>
      </c>
      <c r="D40" s="0" t="s">
        <v>185</v>
      </c>
      <c r="E40" s="0" t="s">
        <v>188</v>
      </c>
      <c r="F40" s="0" t="s">
        <v>190</v>
      </c>
      <c r="G40" s="0">
        <v>1</v>
      </c>
      <c r="H40" s="0">
        <v>39</v>
      </c>
      <c r="I40" s="0" t="s">
        <v>39</v>
      </c>
      <c r="J40" s="0" t="s">
        <v>36</v>
      </c>
    </row>
    <row r="41">
      <c r="A41" s="0">
        <v>2020</v>
      </c>
      <c r="B41" s="0" t="s">
        <v>181</v>
      </c>
      <c r="C41" s="0">
        <v>40</v>
      </c>
      <c r="D41" s="0" t="s">
        <v>182</v>
      </c>
      <c r="E41" s="0" t="s">
        <v>186</v>
      </c>
      <c r="F41" s="0" t="s">
        <v>191</v>
      </c>
      <c r="G41" s="0">
        <v>3</v>
      </c>
      <c r="H41" s="0">
        <v>120</v>
      </c>
      <c r="I41" s="0" t="s">
        <v>39</v>
      </c>
      <c r="J41" s="0" t="s">
        <v>36</v>
      </c>
    </row>
    <row r="42">
      <c r="A42" s="0">
        <v>2020</v>
      </c>
      <c r="B42" s="0" t="s">
        <v>181</v>
      </c>
      <c r="C42" s="0">
        <v>40</v>
      </c>
      <c r="D42" s="0" t="s">
        <v>185</v>
      </c>
      <c r="E42" s="0" t="s">
        <v>186</v>
      </c>
      <c r="F42" s="0" t="s">
        <v>191</v>
      </c>
      <c r="G42" s="0">
        <v>3</v>
      </c>
      <c r="H42" s="0">
        <v>120</v>
      </c>
      <c r="I42" s="0" t="s">
        <v>39</v>
      </c>
      <c r="J42" s="0" t="s">
        <v>36</v>
      </c>
    </row>
    <row r="43">
      <c r="A43" s="0">
        <v>2020</v>
      </c>
      <c r="B43" s="0" t="s">
        <v>181</v>
      </c>
      <c r="C43" s="0">
        <v>41</v>
      </c>
      <c r="D43" s="0" t="s">
        <v>185</v>
      </c>
      <c r="E43" s="0" t="s">
        <v>186</v>
      </c>
      <c r="F43" s="0" t="s">
        <v>191</v>
      </c>
      <c r="G43" s="0">
        <v>3</v>
      </c>
      <c r="H43" s="0">
        <v>123</v>
      </c>
      <c r="I43" s="0" t="s">
        <v>39</v>
      </c>
      <c r="J43" s="0" t="s">
        <v>36</v>
      </c>
    </row>
    <row r="44">
      <c r="A44" s="0">
        <v>2020</v>
      </c>
      <c r="B44" s="0" t="s">
        <v>181</v>
      </c>
      <c r="C44" s="0">
        <v>42</v>
      </c>
      <c r="D44" s="0" t="s">
        <v>182</v>
      </c>
      <c r="E44" s="0" t="s">
        <v>186</v>
      </c>
      <c r="F44" s="0" t="s">
        <v>191</v>
      </c>
      <c r="G44" s="0">
        <v>1</v>
      </c>
      <c r="H44" s="0">
        <v>42</v>
      </c>
      <c r="I44" s="0" t="s">
        <v>39</v>
      </c>
      <c r="J44" s="0" t="s">
        <v>36</v>
      </c>
    </row>
    <row r="45">
      <c r="A45" s="0">
        <v>2020</v>
      </c>
      <c r="B45" s="0" t="s">
        <v>181</v>
      </c>
      <c r="C45" s="0">
        <v>42</v>
      </c>
      <c r="D45" s="0" t="s">
        <v>182</v>
      </c>
      <c r="E45" s="0" t="s">
        <v>188</v>
      </c>
      <c r="F45" s="0" t="s">
        <v>191</v>
      </c>
      <c r="G45" s="0">
        <v>1</v>
      </c>
      <c r="H45" s="0">
        <v>42</v>
      </c>
      <c r="I45" s="0" t="s">
        <v>39</v>
      </c>
      <c r="J45" s="0" t="s">
        <v>36</v>
      </c>
    </row>
    <row r="46">
      <c r="A46" s="0">
        <v>2020</v>
      </c>
      <c r="B46" s="0" t="s">
        <v>181</v>
      </c>
      <c r="C46" s="0">
        <v>42</v>
      </c>
      <c r="D46" s="0" t="s">
        <v>185</v>
      </c>
      <c r="E46" s="0" t="s">
        <v>186</v>
      </c>
      <c r="F46" s="0" t="s">
        <v>191</v>
      </c>
      <c r="G46" s="0">
        <v>3</v>
      </c>
      <c r="H46" s="0">
        <v>126</v>
      </c>
      <c r="I46" s="0" t="s">
        <v>39</v>
      </c>
      <c r="J46" s="0" t="s">
        <v>36</v>
      </c>
    </row>
    <row r="47">
      <c r="A47" s="0">
        <v>2020</v>
      </c>
      <c r="B47" s="0" t="s">
        <v>181</v>
      </c>
      <c r="C47" s="0">
        <v>43</v>
      </c>
      <c r="D47" s="0" t="s">
        <v>182</v>
      </c>
      <c r="E47" s="0" t="s">
        <v>186</v>
      </c>
      <c r="F47" s="0" t="s">
        <v>191</v>
      </c>
      <c r="G47" s="0">
        <v>3</v>
      </c>
      <c r="H47" s="0">
        <v>129</v>
      </c>
      <c r="I47" s="0" t="s">
        <v>39</v>
      </c>
      <c r="J47" s="0" t="s">
        <v>36</v>
      </c>
    </row>
    <row r="48">
      <c r="A48" s="0">
        <v>2020</v>
      </c>
      <c r="B48" s="0" t="s">
        <v>181</v>
      </c>
      <c r="C48" s="0">
        <v>43</v>
      </c>
      <c r="D48" s="0" t="s">
        <v>185</v>
      </c>
      <c r="E48" s="0" t="s">
        <v>186</v>
      </c>
      <c r="F48" s="0" t="s">
        <v>191</v>
      </c>
      <c r="G48" s="0">
        <v>4</v>
      </c>
      <c r="H48" s="0">
        <v>172</v>
      </c>
      <c r="I48" s="0" t="s">
        <v>39</v>
      </c>
      <c r="J48" s="0" t="s">
        <v>36</v>
      </c>
    </row>
    <row r="49">
      <c r="A49" s="0">
        <v>2020</v>
      </c>
      <c r="B49" s="0" t="s">
        <v>181</v>
      </c>
      <c r="C49" s="0">
        <v>44</v>
      </c>
      <c r="D49" s="0" t="s">
        <v>185</v>
      </c>
      <c r="E49" s="0" t="s">
        <v>186</v>
      </c>
      <c r="F49" s="0" t="s">
        <v>191</v>
      </c>
      <c r="G49" s="0">
        <v>1</v>
      </c>
      <c r="H49" s="0">
        <v>44</v>
      </c>
      <c r="I49" s="0" t="s">
        <v>39</v>
      </c>
      <c r="J49" s="0" t="s">
        <v>36</v>
      </c>
    </row>
    <row r="50">
      <c r="A50" s="0">
        <v>2020</v>
      </c>
      <c r="B50" s="0" t="s">
        <v>181</v>
      </c>
      <c r="C50" s="0">
        <v>45</v>
      </c>
      <c r="D50" s="0" t="s">
        <v>182</v>
      </c>
      <c r="E50" s="0" t="s">
        <v>186</v>
      </c>
      <c r="F50" s="0" t="s">
        <v>192</v>
      </c>
      <c r="G50" s="0">
        <v>1</v>
      </c>
      <c r="H50" s="0">
        <v>45</v>
      </c>
      <c r="I50" s="0" t="s">
        <v>39</v>
      </c>
      <c r="J50" s="0" t="s">
        <v>36</v>
      </c>
    </row>
    <row r="51">
      <c r="A51" s="0">
        <v>2020</v>
      </c>
      <c r="B51" s="0" t="s">
        <v>181</v>
      </c>
      <c r="C51" s="0">
        <v>45</v>
      </c>
      <c r="D51" s="0" t="s">
        <v>185</v>
      </c>
      <c r="E51" s="0" t="s">
        <v>186</v>
      </c>
      <c r="F51" s="0" t="s">
        <v>192</v>
      </c>
      <c r="G51" s="0">
        <v>5</v>
      </c>
      <c r="H51" s="0">
        <v>225</v>
      </c>
      <c r="I51" s="0" t="s">
        <v>39</v>
      </c>
      <c r="J51" s="0" t="s">
        <v>36</v>
      </c>
    </row>
    <row r="52">
      <c r="A52" s="0">
        <v>2020</v>
      </c>
      <c r="B52" s="0" t="s">
        <v>181</v>
      </c>
      <c r="C52" s="0">
        <v>46</v>
      </c>
      <c r="D52" s="0" t="s">
        <v>185</v>
      </c>
      <c r="E52" s="0" t="s">
        <v>186</v>
      </c>
      <c r="F52" s="0" t="s">
        <v>192</v>
      </c>
      <c r="G52" s="0">
        <v>6</v>
      </c>
      <c r="H52" s="0">
        <v>276</v>
      </c>
      <c r="I52" s="0" t="s">
        <v>39</v>
      </c>
      <c r="J52" s="0" t="s">
        <v>36</v>
      </c>
    </row>
    <row r="53">
      <c r="A53" s="0">
        <v>2020</v>
      </c>
      <c r="B53" s="0" t="s">
        <v>181</v>
      </c>
      <c r="C53" s="0">
        <v>47</v>
      </c>
      <c r="D53" s="0" t="s">
        <v>182</v>
      </c>
      <c r="E53" s="0" t="s">
        <v>186</v>
      </c>
      <c r="F53" s="0" t="s">
        <v>192</v>
      </c>
      <c r="G53" s="0">
        <v>4</v>
      </c>
      <c r="H53" s="0">
        <v>188</v>
      </c>
      <c r="I53" s="0" t="s">
        <v>39</v>
      </c>
      <c r="J53" s="0" t="s">
        <v>36</v>
      </c>
    </row>
    <row r="54">
      <c r="A54" s="0">
        <v>2020</v>
      </c>
      <c r="B54" s="0" t="s">
        <v>181</v>
      </c>
      <c r="C54" s="0">
        <v>47</v>
      </c>
      <c r="D54" s="0" t="s">
        <v>185</v>
      </c>
      <c r="E54" s="0" t="s">
        <v>186</v>
      </c>
      <c r="F54" s="0" t="s">
        <v>192</v>
      </c>
      <c r="G54" s="0">
        <v>4</v>
      </c>
      <c r="H54" s="0">
        <v>188</v>
      </c>
      <c r="I54" s="0" t="s">
        <v>39</v>
      </c>
      <c r="J54" s="0" t="s">
        <v>36</v>
      </c>
    </row>
    <row r="55">
      <c r="A55" s="0">
        <v>2020</v>
      </c>
      <c r="B55" s="0" t="s">
        <v>181</v>
      </c>
      <c r="C55" s="0">
        <v>48</v>
      </c>
      <c r="D55" s="0" t="s">
        <v>182</v>
      </c>
      <c r="E55" s="0" t="s">
        <v>188</v>
      </c>
      <c r="F55" s="0" t="s">
        <v>192</v>
      </c>
      <c r="G55" s="0">
        <v>35</v>
      </c>
      <c r="H55" s="0">
        <v>1680</v>
      </c>
      <c r="I55" s="0" t="s">
        <v>39</v>
      </c>
      <c r="J55" s="0" t="s">
        <v>36</v>
      </c>
    </row>
    <row r="56">
      <c r="A56" s="0">
        <v>2020</v>
      </c>
      <c r="B56" s="0" t="s">
        <v>181</v>
      </c>
      <c r="C56" s="0">
        <v>48</v>
      </c>
      <c r="D56" s="0" t="s">
        <v>185</v>
      </c>
      <c r="E56" s="0" t="s">
        <v>186</v>
      </c>
      <c r="F56" s="0" t="s">
        <v>192</v>
      </c>
      <c r="G56" s="0">
        <v>3</v>
      </c>
      <c r="H56" s="0">
        <v>144</v>
      </c>
      <c r="I56" s="0" t="s">
        <v>39</v>
      </c>
      <c r="J56" s="0" t="s">
        <v>36</v>
      </c>
    </row>
    <row r="57">
      <c r="A57" s="0">
        <v>2020</v>
      </c>
      <c r="B57" s="0" t="s">
        <v>181</v>
      </c>
      <c r="C57" s="0">
        <v>49</v>
      </c>
      <c r="D57" s="0" t="s">
        <v>182</v>
      </c>
      <c r="E57" s="0" t="s">
        <v>186</v>
      </c>
      <c r="F57" s="0" t="s">
        <v>192</v>
      </c>
      <c r="G57" s="0">
        <v>1</v>
      </c>
      <c r="H57" s="0">
        <v>49</v>
      </c>
      <c r="I57" s="0" t="s">
        <v>39</v>
      </c>
      <c r="J57" s="0" t="s">
        <v>36</v>
      </c>
    </row>
    <row r="58">
      <c r="A58" s="0">
        <v>2020</v>
      </c>
      <c r="B58" s="0" t="s">
        <v>181</v>
      </c>
      <c r="C58" s="0">
        <v>49</v>
      </c>
      <c r="D58" s="0" t="s">
        <v>182</v>
      </c>
      <c r="E58" s="0" t="s">
        <v>188</v>
      </c>
      <c r="F58" s="0" t="s">
        <v>192</v>
      </c>
      <c r="G58" s="0">
        <v>73</v>
      </c>
      <c r="H58" s="0">
        <v>3577</v>
      </c>
      <c r="I58" s="0" t="s">
        <v>39</v>
      </c>
      <c r="J58" s="0" t="s">
        <v>36</v>
      </c>
    </row>
    <row r="59">
      <c r="A59" s="0">
        <v>2020</v>
      </c>
      <c r="B59" s="0" t="s">
        <v>181</v>
      </c>
      <c r="C59" s="0">
        <v>49</v>
      </c>
      <c r="D59" s="0" t="s">
        <v>185</v>
      </c>
      <c r="E59" s="0" t="s">
        <v>186</v>
      </c>
      <c r="F59" s="0" t="s">
        <v>192</v>
      </c>
      <c r="G59" s="0">
        <v>2</v>
      </c>
      <c r="H59" s="0">
        <v>98</v>
      </c>
      <c r="I59" s="0" t="s">
        <v>39</v>
      </c>
      <c r="J59" s="0" t="s">
        <v>36</v>
      </c>
    </row>
    <row r="60">
      <c r="A60" s="0">
        <v>2020</v>
      </c>
      <c r="B60" s="0" t="s">
        <v>181</v>
      </c>
      <c r="C60" s="0">
        <v>50</v>
      </c>
      <c r="D60" s="0" t="s">
        <v>185</v>
      </c>
      <c r="E60" s="0" t="s">
        <v>186</v>
      </c>
      <c r="F60" s="0" t="s">
        <v>193</v>
      </c>
      <c r="G60" s="0">
        <v>5</v>
      </c>
      <c r="H60" s="0">
        <v>250</v>
      </c>
      <c r="I60" s="0" t="s">
        <v>39</v>
      </c>
      <c r="J60" s="0" t="s">
        <v>36</v>
      </c>
    </row>
    <row r="61">
      <c r="A61" s="0">
        <v>2020</v>
      </c>
      <c r="B61" s="0" t="s">
        <v>181</v>
      </c>
      <c r="C61" s="0">
        <v>51</v>
      </c>
      <c r="D61" s="0" t="s">
        <v>182</v>
      </c>
      <c r="E61" s="0" t="s">
        <v>186</v>
      </c>
      <c r="F61" s="0" t="s">
        <v>193</v>
      </c>
      <c r="G61" s="0">
        <v>1</v>
      </c>
      <c r="H61" s="0">
        <v>51</v>
      </c>
      <c r="I61" s="0" t="s">
        <v>39</v>
      </c>
      <c r="J61" s="0" t="s">
        <v>36</v>
      </c>
    </row>
    <row r="62">
      <c r="A62" s="0">
        <v>2020</v>
      </c>
      <c r="B62" s="0" t="s">
        <v>181</v>
      </c>
      <c r="C62" s="0">
        <v>51</v>
      </c>
      <c r="D62" s="0" t="s">
        <v>185</v>
      </c>
      <c r="E62" s="0" t="s">
        <v>186</v>
      </c>
      <c r="F62" s="0" t="s">
        <v>193</v>
      </c>
      <c r="G62" s="0">
        <v>2</v>
      </c>
      <c r="H62" s="0">
        <v>102</v>
      </c>
      <c r="I62" s="0" t="s">
        <v>39</v>
      </c>
      <c r="J62" s="0" t="s">
        <v>36</v>
      </c>
    </row>
    <row r="63">
      <c r="A63" s="0">
        <v>2020</v>
      </c>
      <c r="B63" s="0" t="s">
        <v>181</v>
      </c>
      <c r="C63" s="0">
        <v>52</v>
      </c>
      <c r="D63" s="0" t="s">
        <v>182</v>
      </c>
      <c r="E63" s="0" t="s">
        <v>186</v>
      </c>
      <c r="F63" s="0" t="s">
        <v>193</v>
      </c>
      <c r="G63" s="0">
        <v>2</v>
      </c>
      <c r="H63" s="0">
        <v>104</v>
      </c>
      <c r="I63" s="0" t="s">
        <v>39</v>
      </c>
      <c r="J63" s="0" t="s">
        <v>36</v>
      </c>
    </row>
    <row r="64">
      <c r="A64" s="0">
        <v>2020</v>
      </c>
      <c r="B64" s="0" t="s">
        <v>181</v>
      </c>
      <c r="C64" s="0">
        <v>52</v>
      </c>
      <c r="D64" s="0" t="s">
        <v>185</v>
      </c>
      <c r="E64" s="0" t="s">
        <v>186</v>
      </c>
      <c r="F64" s="0" t="s">
        <v>193</v>
      </c>
      <c r="G64" s="0">
        <v>4</v>
      </c>
      <c r="H64" s="0">
        <v>208</v>
      </c>
      <c r="I64" s="0" t="s">
        <v>39</v>
      </c>
      <c r="J64" s="0" t="s">
        <v>36</v>
      </c>
    </row>
    <row r="65">
      <c r="A65" s="0">
        <v>2020</v>
      </c>
      <c r="B65" s="0" t="s">
        <v>181</v>
      </c>
      <c r="C65" s="0">
        <v>53</v>
      </c>
      <c r="D65" s="0" t="s">
        <v>182</v>
      </c>
      <c r="E65" s="0" t="s">
        <v>186</v>
      </c>
      <c r="F65" s="0" t="s">
        <v>193</v>
      </c>
      <c r="G65" s="0">
        <v>2</v>
      </c>
      <c r="H65" s="0">
        <v>106</v>
      </c>
      <c r="I65" s="0" t="s">
        <v>39</v>
      </c>
      <c r="J65" s="0" t="s">
        <v>36</v>
      </c>
    </row>
    <row r="66">
      <c r="A66" s="0">
        <v>2020</v>
      </c>
      <c r="B66" s="0" t="s">
        <v>181</v>
      </c>
      <c r="C66" s="0">
        <v>53</v>
      </c>
      <c r="D66" s="0" t="s">
        <v>185</v>
      </c>
      <c r="E66" s="0" t="s">
        <v>186</v>
      </c>
      <c r="F66" s="0" t="s">
        <v>193</v>
      </c>
      <c r="G66" s="0">
        <v>1</v>
      </c>
      <c r="H66" s="0">
        <v>53</v>
      </c>
      <c r="I66" s="0" t="s">
        <v>39</v>
      </c>
      <c r="J66" s="0" t="s">
        <v>36</v>
      </c>
    </row>
    <row r="67">
      <c r="A67" s="0">
        <v>2020</v>
      </c>
      <c r="B67" s="0" t="s">
        <v>181</v>
      </c>
      <c r="C67" s="0">
        <v>54</v>
      </c>
      <c r="D67" s="0" t="s">
        <v>182</v>
      </c>
      <c r="E67" s="0" t="s">
        <v>186</v>
      </c>
      <c r="F67" s="0" t="s">
        <v>193</v>
      </c>
      <c r="G67" s="0">
        <v>6</v>
      </c>
      <c r="H67" s="0">
        <v>324</v>
      </c>
      <c r="I67" s="0" t="s">
        <v>39</v>
      </c>
      <c r="J67" s="0" t="s">
        <v>36</v>
      </c>
    </row>
    <row r="68">
      <c r="A68" s="0">
        <v>2020</v>
      </c>
      <c r="B68" s="0" t="s">
        <v>181</v>
      </c>
      <c r="C68" s="0">
        <v>54</v>
      </c>
      <c r="D68" s="0" t="s">
        <v>185</v>
      </c>
      <c r="E68" s="0" t="s">
        <v>186</v>
      </c>
      <c r="F68" s="0" t="s">
        <v>193</v>
      </c>
      <c r="G68" s="0">
        <v>9</v>
      </c>
      <c r="H68" s="0">
        <v>486</v>
      </c>
      <c r="I68" s="0" t="s">
        <v>39</v>
      </c>
      <c r="J68" s="0" t="s">
        <v>36</v>
      </c>
    </row>
    <row r="69">
      <c r="A69" s="0">
        <v>2020</v>
      </c>
      <c r="B69" s="0" t="s">
        <v>181</v>
      </c>
      <c r="C69" s="0">
        <v>55</v>
      </c>
      <c r="D69" s="0" t="s">
        <v>182</v>
      </c>
      <c r="E69" s="0" t="s">
        <v>186</v>
      </c>
      <c r="F69" s="0" t="s">
        <v>194</v>
      </c>
      <c r="G69" s="0">
        <v>5</v>
      </c>
      <c r="H69" s="0">
        <v>275</v>
      </c>
      <c r="I69" s="0" t="s">
        <v>39</v>
      </c>
      <c r="J69" s="0" t="s">
        <v>36</v>
      </c>
    </row>
    <row r="70">
      <c r="A70" s="0">
        <v>2020</v>
      </c>
      <c r="B70" s="0" t="s">
        <v>181</v>
      </c>
      <c r="C70" s="0">
        <v>55</v>
      </c>
      <c r="D70" s="0" t="s">
        <v>185</v>
      </c>
      <c r="E70" s="0" t="s">
        <v>186</v>
      </c>
      <c r="F70" s="0" t="s">
        <v>194</v>
      </c>
      <c r="G70" s="0">
        <v>3</v>
      </c>
      <c r="H70" s="0">
        <v>165</v>
      </c>
      <c r="I70" s="0" t="s">
        <v>39</v>
      </c>
      <c r="J70" s="0" t="s">
        <v>36</v>
      </c>
    </row>
    <row r="71">
      <c r="A71" s="0">
        <v>2020</v>
      </c>
      <c r="B71" s="0" t="s">
        <v>181</v>
      </c>
      <c r="C71" s="0">
        <v>56</v>
      </c>
      <c r="D71" s="0" t="s">
        <v>182</v>
      </c>
      <c r="E71" s="0" t="s">
        <v>186</v>
      </c>
      <c r="F71" s="0" t="s">
        <v>194</v>
      </c>
      <c r="G71" s="0">
        <v>2</v>
      </c>
      <c r="H71" s="0">
        <v>112</v>
      </c>
      <c r="I71" s="0" t="s">
        <v>39</v>
      </c>
      <c r="J71" s="0" t="s">
        <v>36</v>
      </c>
    </row>
    <row r="72">
      <c r="A72" s="0">
        <v>2020</v>
      </c>
      <c r="B72" s="0" t="s">
        <v>181</v>
      </c>
      <c r="C72" s="0">
        <v>56</v>
      </c>
      <c r="D72" s="0" t="s">
        <v>185</v>
      </c>
      <c r="E72" s="0" t="s">
        <v>186</v>
      </c>
      <c r="F72" s="0" t="s">
        <v>194</v>
      </c>
      <c r="G72" s="0">
        <v>7</v>
      </c>
      <c r="H72" s="0">
        <v>392</v>
      </c>
      <c r="I72" s="0" t="s">
        <v>39</v>
      </c>
      <c r="J72" s="0" t="s">
        <v>36</v>
      </c>
    </row>
    <row r="73">
      <c r="A73" s="0">
        <v>2020</v>
      </c>
      <c r="B73" s="0" t="s">
        <v>181</v>
      </c>
      <c r="C73" s="0">
        <v>57</v>
      </c>
      <c r="D73" s="0" t="s">
        <v>182</v>
      </c>
      <c r="E73" s="0" t="s">
        <v>186</v>
      </c>
      <c r="F73" s="0" t="s">
        <v>194</v>
      </c>
      <c r="G73" s="0">
        <v>1</v>
      </c>
      <c r="H73" s="0">
        <v>57</v>
      </c>
      <c r="I73" s="0" t="s">
        <v>39</v>
      </c>
      <c r="J73" s="0" t="s">
        <v>36</v>
      </c>
    </row>
    <row r="74">
      <c r="A74" s="0">
        <v>2020</v>
      </c>
      <c r="B74" s="0" t="s">
        <v>181</v>
      </c>
      <c r="C74" s="0">
        <v>57</v>
      </c>
      <c r="D74" s="0" t="s">
        <v>185</v>
      </c>
      <c r="E74" s="0" t="s">
        <v>186</v>
      </c>
      <c r="F74" s="0" t="s">
        <v>194</v>
      </c>
      <c r="G74" s="0">
        <v>3</v>
      </c>
      <c r="H74" s="0">
        <v>171</v>
      </c>
      <c r="I74" s="0" t="s">
        <v>39</v>
      </c>
      <c r="J74" s="0" t="s">
        <v>36</v>
      </c>
    </row>
    <row r="75">
      <c r="A75" s="0">
        <v>2020</v>
      </c>
      <c r="B75" s="0" t="s">
        <v>181</v>
      </c>
      <c r="C75" s="0">
        <v>58</v>
      </c>
      <c r="D75" s="0" t="s">
        <v>182</v>
      </c>
      <c r="E75" s="0" t="s">
        <v>186</v>
      </c>
      <c r="F75" s="0" t="s">
        <v>194</v>
      </c>
      <c r="G75" s="0">
        <v>2</v>
      </c>
      <c r="H75" s="0">
        <v>116</v>
      </c>
      <c r="I75" s="0" t="s">
        <v>39</v>
      </c>
      <c r="J75" s="0" t="s">
        <v>36</v>
      </c>
    </row>
    <row r="76">
      <c r="A76" s="0">
        <v>2020</v>
      </c>
      <c r="B76" s="0" t="s">
        <v>181</v>
      </c>
      <c r="C76" s="0">
        <v>58</v>
      </c>
      <c r="D76" s="0" t="s">
        <v>185</v>
      </c>
      <c r="E76" s="0" t="s">
        <v>186</v>
      </c>
      <c r="F76" s="0" t="s">
        <v>194</v>
      </c>
      <c r="G76" s="0">
        <v>4</v>
      </c>
      <c r="H76" s="0">
        <v>232</v>
      </c>
      <c r="I76" s="0" t="s">
        <v>39</v>
      </c>
      <c r="J76" s="0" t="s">
        <v>36</v>
      </c>
    </row>
    <row r="77">
      <c r="A77" s="0">
        <v>2020</v>
      </c>
      <c r="B77" s="0" t="s">
        <v>181</v>
      </c>
      <c r="C77" s="0">
        <v>59</v>
      </c>
      <c r="D77" s="0" t="s">
        <v>182</v>
      </c>
      <c r="E77" s="0" t="s">
        <v>186</v>
      </c>
      <c r="F77" s="0" t="s">
        <v>194</v>
      </c>
      <c r="G77" s="0">
        <v>2</v>
      </c>
      <c r="H77" s="0">
        <v>118</v>
      </c>
      <c r="I77" s="0" t="s">
        <v>39</v>
      </c>
      <c r="J77" s="0" t="s">
        <v>36</v>
      </c>
    </row>
    <row r="78">
      <c r="A78" s="0">
        <v>2020</v>
      </c>
      <c r="B78" s="0" t="s">
        <v>181</v>
      </c>
      <c r="C78" s="0">
        <v>59</v>
      </c>
      <c r="D78" s="0" t="s">
        <v>185</v>
      </c>
      <c r="E78" s="0" t="s">
        <v>186</v>
      </c>
      <c r="F78" s="0" t="s">
        <v>194</v>
      </c>
      <c r="G78" s="0">
        <v>5</v>
      </c>
      <c r="H78" s="0">
        <v>295</v>
      </c>
      <c r="I78" s="0" t="s">
        <v>39</v>
      </c>
      <c r="J78" s="0" t="s">
        <v>36</v>
      </c>
    </row>
    <row r="79">
      <c r="A79" s="0">
        <v>2020</v>
      </c>
      <c r="B79" s="0" t="s">
        <v>181</v>
      </c>
      <c r="C79" s="0">
        <v>60</v>
      </c>
      <c r="D79" s="0" t="s">
        <v>182</v>
      </c>
      <c r="E79" s="0" t="s">
        <v>186</v>
      </c>
      <c r="F79" s="0" t="s">
        <v>195</v>
      </c>
      <c r="G79" s="0">
        <v>1</v>
      </c>
      <c r="H79" s="0">
        <v>60</v>
      </c>
      <c r="I79" s="0" t="s">
        <v>39</v>
      </c>
      <c r="J79" s="0" t="s">
        <v>36</v>
      </c>
    </row>
    <row r="80">
      <c r="A80" s="0">
        <v>2020</v>
      </c>
      <c r="B80" s="0" t="s">
        <v>181</v>
      </c>
      <c r="C80" s="0">
        <v>60</v>
      </c>
      <c r="D80" s="0" t="s">
        <v>185</v>
      </c>
      <c r="E80" s="0" t="s">
        <v>186</v>
      </c>
      <c r="F80" s="0" t="s">
        <v>195</v>
      </c>
      <c r="G80" s="0">
        <v>5</v>
      </c>
      <c r="H80" s="0">
        <v>300</v>
      </c>
      <c r="I80" s="0" t="s">
        <v>39</v>
      </c>
      <c r="J80" s="0" t="s">
        <v>36</v>
      </c>
    </row>
    <row r="81">
      <c r="A81" s="0">
        <v>2020</v>
      </c>
      <c r="B81" s="0" t="s">
        <v>181</v>
      </c>
      <c r="C81" s="0">
        <v>61</v>
      </c>
      <c r="D81" s="0" t="s">
        <v>182</v>
      </c>
      <c r="E81" s="0" t="s">
        <v>186</v>
      </c>
      <c r="F81" s="0" t="s">
        <v>195</v>
      </c>
      <c r="G81" s="0">
        <v>1</v>
      </c>
      <c r="H81" s="0">
        <v>61</v>
      </c>
      <c r="I81" s="0" t="s">
        <v>39</v>
      </c>
      <c r="J81" s="0" t="s">
        <v>36</v>
      </c>
    </row>
    <row r="82">
      <c r="A82" s="0">
        <v>2020</v>
      </c>
      <c r="B82" s="0" t="s">
        <v>181</v>
      </c>
      <c r="C82" s="0">
        <v>61</v>
      </c>
      <c r="D82" s="0" t="s">
        <v>185</v>
      </c>
      <c r="E82" s="0" t="s">
        <v>186</v>
      </c>
      <c r="F82" s="0" t="s">
        <v>195</v>
      </c>
      <c r="G82" s="0">
        <v>6</v>
      </c>
      <c r="H82" s="0">
        <v>366</v>
      </c>
      <c r="I82" s="0" t="s">
        <v>39</v>
      </c>
      <c r="J82" s="0" t="s">
        <v>36</v>
      </c>
    </row>
    <row r="83">
      <c r="A83" s="0">
        <v>2020</v>
      </c>
      <c r="B83" s="0" t="s">
        <v>181</v>
      </c>
      <c r="C83" s="0">
        <v>62</v>
      </c>
      <c r="D83" s="0" t="s">
        <v>182</v>
      </c>
      <c r="E83" s="0" t="s">
        <v>186</v>
      </c>
      <c r="F83" s="0" t="s">
        <v>195</v>
      </c>
      <c r="G83" s="0">
        <v>2</v>
      </c>
      <c r="H83" s="0">
        <v>124</v>
      </c>
      <c r="I83" s="0" t="s">
        <v>39</v>
      </c>
      <c r="J83" s="0" t="s">
        <v>36</v>
      </c>
    </row>
    <row r="84">
      <c r="A84" s="0">
        <v>2020</v>
      </c>
      <c r="B84" s="0" t="s">
        <v>181</v>
      </c>
      <c r="C84" s="0">
        <v>62</v>
      </c>
      <c r="D84" s="0" t="s">
        <v>185</v>
      </c>
      <c r="E84" s="0" t="s">
        <v>186</v>
      </c>
      <c r="F84" s="0" t="s">
        <v>195</v>
      </c>
      <c r="G84" s="0">
        <v>2</v>
      </c>
      <c r="H84" s="0">
        <v>124</v>
      </c>
      <c r="I84" s="0" t="s">
        <v>39</v>
      </c>
      <c r="J84" s="0" t="s">
        <v>36</v>
      </c>
    </row>
    <row r="85">
      <c r="A85" s="0">
        <v>2020</v>
      </c>
      <c r="B85" s="0" t="s">
        <v>181</v>
      </c>
      <c r="C85" s="0">
        <v>63</v>
      </c>
      <c r="D85" s="0" t="s">
        <v>182</v>
      </c>
      <c r="E85" s="0" t="s">
        <v>186</v>
      </c>
      <c r="F85" s="0" t="s">
        <v>195</v>
      </c>
      <c r="G85" s="0">
        <v>2</v>
      </c>
      <c r="H85" s="0">
        <v>126</v>
      </c>
      <c r="I85" s="0" t="s">
        <v>39</v>
      </c>
      <c r="J85" s="0" t="s">
        <v>36</v>
      </c>
    </row>
    <row r="86">
      <c r="A86" s="0">
        <v>2020</v>
      </c>
      <c r="B86" s="0" t="s">
        <v>181</v>
      </c>
      <c r="C86" s="0">
        <v>63</v>
      </c>
      <c r="D86" s="0" t="s">
        <v>185</v>
      </c>
      <c r="E86" s="0" t="s">
        <v>186</v>
      </c>
      <c r="F86" s="0" t="s">
        <v>195</v>
      </c>
      <c r="G86" s="0">
        <v>5</v>
      </c>
      <c r="H86" s="0">
        <v>315</v>
      </c>
      <c r="I86" s="0" t="s">
        <v>39</v>
      </c>
      <c r="J86" s="0" t="s">
        <v>36</v>
      </c>
    </row>
    <row r="87">
      <c r="A87" s="0">
        <v>2020</v>
      </c>
      <c r="B87" s="0" t="s">
        <v>181</v>
      </c>
      <c r="C87" s="0">
        <v>64</v>
      </c>
      <c r="D87" s="0" t="s">
        <v>185</v>
      </c>
      <c r="E87" s="0" t="s">
        <v>186</v>
      </c>
      <c r="F87" s="0" t="s">
        <v>195</v>
      </c>
      <c r="G87" s="0">
        <v>2</v>
      </c>
      <c r="H87" s="0">
        <v>128</v>
      </c>
      <c r="I87" s="0" t="s">
        <v>39</v>
      </c>
      <c r="J87" s="0" t="s">
        <v>36</v>
      </c>
    </row>
    <row r="88">
      <c r="A88" s="0">
        <v>2020</v>
      </c>
      <c r="B88" s="0" t="s">
        <v>181</v>
      </c>
      <c r="C88" s="0">
        <v>66</v>
      </c>
      <c r="D88" s="0" t="s">
        <v>185</v>
      </c>
      <c r="E88" s="0" t="s">
        <v>186</v>
      </c>
      <c r="F88" s="0" t="s">
        <v>195</v>
      </c>
      <c r="G88" s="0">
        <v>1</v>
      </c>
      <c r="H88" s="0">
        <v>66</v>
      </c>
      <c r="I88" s="0" t="s">
        <v>39</v>
      </c>
      <c r="J88" s="0" t="s">
        <v>36</v>
      </c>
    </row>
    <row r="89">
      <c r="A89" s="0">
        <v>2020</v>
      </c>
      <c r="B89" s="0" t="s">
        <v>181</v>
      </c>
      <c r="C89" s="0">
        <v>67</v>
      </c>
      <c r="D89" s="0" t="s">
        <v>185</v>
      </c>
      <c r="E89" s="0" t="s">
        <v>186</v>
      </c>
      <c r="F89" s="0" t="s">
        <v>195</v>
      </c>
      <c r="G89" s="0">
        <v>1</v>
      </c>
      <c r="H89" s="0">
        <v>67</v>
      </c>
      <c r="I89" s="0" t="s">
        <v>39</v>
      </c>
      <c r="J89" s="0" t="s">
        <v>36</v>
      </c>
    </row>
    <row r="90">
      <c r="A90" s="0">
        <v>2020</v>
      </c>
      <c r="B90" s="0" t="s">
        <v>181</v>
      </c>
      <c r="C90" s="0">
        <v>68</v>
      </c>
      <c r="D90" s="0" t="s">
        <v>182</v>
      </c>
      <c r="E90" s="0" t="s">
        <v>186</v>
      </c>
      <c r="F90" s="0" t="s">
        <v>195</v>
      </c>
      <c r="G90" s="0">
        <v>1</v>
      </c>
      <c r="H90" s="0">
        <v>68</v>
      </c>
      <c r="I90" s="0" t="s">
        <v>39</v>
      </c>
      <c r="J90" s="0" t="s">
        <v>36</v>
      </c>
    </row>
    <row r="91">
      <c r="A91" s="0">
        <v>2020</v>
      </c>
      <c r="B91" s="0" t="s">
        <v>181</v>
      </c>
      <c r="C91" s="0">
        <v>68</v>
      </c>
      <c r="D91" s="0" t="s">
        <v>185</v>
      </c>
      <c r="E91" s="0" t="s">
        <v>186</v>
      </c>
      <c r="F91" s="0" t="s">
        <v>195</v>
      </c>
      <c r="G91" s="0">
        <v>1</v>
      </c>
      <c r="H91" s="0">
        <v>68</v>
      </c>
      <c r="I91" s="0" t="s">
        <v>39</v>
      </c>
      <c r="J91" s="0" t="s">
        <v>36</v>
      </c>
    </row>
    <row r="92">
      <c r="A92" s="0">
        <v>2020</v>
      </c>
      <c r="B92" s="0" t="s">
        <v>181</v>
      </c>
      <c r="C92" s="0">
        <v>69</v>
      </c>
      <c r="D92" s="0" t="s">
        <v>185</v>
      </c>
      <c r="E92" s="0" t="s">
        <v>186</v>
      </c>
      <c r="F92" s="0" t="s">
        <v>195</v>
      </c>
      <c r="G92" s="0">
        <v>1</v>
      </c>
      <c r="H92" s="0">
        <v>69</v>
      </c>
      <c r="I92" s="0" t="s">
        <v>39</v>
      </c>
      <c r="J92" s="0" t="s">
        <v>36</v>
      </c>
    </row>
    <row r="93">
      <c r="A93" s="0">
        <v>2020</v>
      </c>
      <c r="B93" s="0" t="s">
        <v>181</v>
      </c>
      <c r="C93" s="0">
        <v>71</v>
      </c>
      <c r="D93" s="0" t="s">
        <v>185</v>
      </c>
      <c r="E93" s="0" t="s">
        <v>186</v>
      </c>
      <c r="F93" s="0" t="s">
        <v>195</v>
      </c>
      <c r="G93" s="0">
        <v>1</v>
      </c>
      <c r="H93" s="0">
        <v>71</v>
      </c>
      <c r="I93" s="0" t="s">
        <v>39</v>
      </c>
      <c r="J93" s="0" t="s">
        <v>36</v>
      </c>
    </row>
    <row r="94">
      <c r="A94" s="0">
        <v>2020</v>
      </c>
      <c r="B94" s="0" t="s">
        <v>181</v>
      </c>
      <c r="C94" s="0">
        <v>74</v>
      </c>
      <c r="D94" s="0" t="s">
        <v>182</v>
      </c>
      <c r="E94" s="0" t="s">
        <v>188</v>
      </c>
      <c r="F94" s="0" t="s">
        <v>195</v>
      </c>
      <c r="G94" s="0">
        <v>2</v>
      </c>
      <c r="H94" s="0">
        <v>148</v>
      </c>
      <c r="I94" s="0" t="s">
        <v>39</v>
      </c>
      <c r="J94" s="0" t="s">
        <v>36</v>
      </c>
    </row>
    <row r="95">
      <c r="A95" s="0">
        <v>2021</v>
      </c>
      <c r="B95" s="0" t="s">
        <v>181</v>
      </c>
      <c r="C95" s="0">
        <v>1</v>
      </c>
      <c r="D95" s="0" t="s">
        <v>182</v>
      </c>
      <c r="E95" s="0" t="s">
        <v>183</v>
      </c>
      <c r="F95" s="0" t="s">
        <v>184</v>
      </c>
      <c r="G95" s="0">
        <v>2</v>
      </c>
      <c r="H95" s="0">
        <v>2</v>
      </c>
      <c r="I95" s="0" t="s">
        <v>39</v>
      </c>
      <c r="J95" s="0" t="s">
        <v>36</v>
      </c>
    </row>
    <row r="96">
      <c r="A96" s="0">
        <v>2021</v>
      </c>
      <c r="B96" s="0" t="s">
        <v>181</v>
      </c>
      <c r="C96" s="0">
        <v>2</v>
      </c>
      <c r="D96" s="0" t="s">
        <v>182</v>
      </c>
      <c r="E96" s="0" t="s">
        <v>183</v>
      </c>
      <c r="F96" s="0" t="s">
        <v>184</v>
      </c>
      <c r="G96" s="0">
        <v>3</v>
      </c>
      <c r="H96" s="0">
        <v>6</v>
      </c>
      <c r="I96" s="0" t="s">
        <v>39</v>
      </c>
      <c r="J96" s="0" t="s">
        <v>36</v>
      </c>
    </row>
    <row r="97">
      <c r="A97" s="0">
        <v>2021</v>
      </c>
      <c r="B97" s="0" t="s">
        <v>181</v>
      </c>
      <c r="C97" s="0">
        <v>2</v>
      </c>
      <c r="D97" s="0" t="s">
        <v>185</v>
      </c>
      <c r="E97" s="0" t="s">
        <v>183</v>
      </c>
      <c r="F97" s="0" t="s">
        <v>184</v>
      </c>
      <c r="G97" s="0">
        <v>2</v>
      </c>
      <c r="H97" s="0">
        <v>4</v>
      </c>
      <c r="I97" s="0" t="s">
        <v>39</v>
      </c>
      <c r="J97" s="0" t="s">
        <v>36</v>
      </c>
    </row>
    <row r="98">
      <c r="A98" s="0">
        <v>2021</v>
      </c>
      <c r="B98" s="0" t="s">
        <v>181</v>
      </c>
      <c r="C98" s="0">
        <v>3</v>
      </c>
      <c r="D98" s="0" t="s">
        <v>185</v>
      </c>
      <c r="E98" s="0" t="s">
        <v>183</v>
      </c>
      <c r="F98" s="0" t="s">
        <v>184</v>
      </c>
      <c r="G98" s="0">
        <v>1</v>
      </c>
      <c r="H98" s="0">
        <v>3</v>
      </c>
      <c r="I98" s="0" t="s">
        <v>39</v>
      </c>
      <c r="J98" s="0" t="s">
        <v>36</v>
      </c>
    </row>
    <row r="99">
      <c r="A99" s="0">
        <v>2021</v>
      </c>
      <c r="B99" s="0" t="s">
        <v>181</v>
      </c>
      <c r="C99" s="0">
        <v>4</v>
      </c>
      <c r="D99" s="0" t="s">
        <v>182</v>
      </c>
      <c r="E99" s="0" t="s">
        <v>183</v>
      </c>
      <c r="F99" s="0" t="s">
        <v>184</v>
      </c>
      <c r="G99" s="0">
        <v>2</v>
      </c>
      <c r="H99" s="0">
        <v>8</v>
      </c>
      <c r="I99" s="0" t="s">
        <v>39</v>
      </c>
      <c r="J99" s="0" t="s">
        <v>36</v>
      </c>
    </row>
    <row r="100">
      <c r="A100" s="0">
        <v>2021</v>
      </c>
      <c r="B100" s="0" t="s">
        <v>181</v>
      </c>
      <c r="C100" s="0">
        <v>4</v>
      </c>
      <c r="D100" s="0" t="s">
        <v>185</v>
      </c>
      <c r="E100" s="0" t="s">
        <v>183</v>
      </c>
      <c r="F100" s="0" t="s">
        <v>184</v>
      </c>
      <c r="G100" s="0">
        <v>1</v>
      </c>
      <c r="H100" s="0">
        <v>4</v>
      </c>
      <c r="I100" s="0" t="s">
        <v>39</v>
      </c>
      <c r="J100" s="0" t="s">
        <v>36</v>
      </c>
    </row>
    <row r="101">
      <c r="A101" s="0">
        <v>2021</v>
      </c>
      <c r="B101" s="0" t="s">
        <v>181</v>
      </c>
      <c r="C101" s="0">
        <v>5</v>
      </c>
      <c r="D101" s="0" t="s">
        <v>182</v>
      </c>
      <c r="E101" s="0" t="s">
        <v>183</v>
      </c>
      <c r="F101" s="0" t="s">
        <v>184</v>
      </c>
      <c r="G101" s="0">
        <v>2</v>
      </c>
      <c r="H101" s="0">
        <v>10</v>
      </c>
      <c r="I101" s="0" t="s">
        <v>39</v>
      </c>
      <c r="J101" s="0" t="s">
        <v>36</v>
      </c>
    </row>
    <row r="102">
      <c r="A102" s="0">
        <v>2021</v>
      </c>
      <c r="B102" s="0" t="s">
        <v>181</v>
      </c>
      <c r="C102" s="0">
        <v>6</v>
      </c>
      <c r="D102" s="0" t="s">
        <v>182</v>
      </c>
      <c r="E102" s="0" t="s">
        <v>183</v>
      </c>
      <c r="F102" s="0" t="s">
        <v>184</v>
      </c>
      <c r="G102" s="0">
        <v>1</v>
      </c>
      <c r="H102" s="0">
        <v>6</v>
      </c>
      <c r="I102" s="0" t="s">
        <v>39</v>
      </c>
      <c r="J102" s="0" t="s">
        <v>36</v>
      </c>
    </row>
    <row r="103">
      <c r="A103" s="0">
        <v>2021</v>
      </c>
      <c r="B103" s="0" t="s">
        <v>181</v>
      </c>
      <c r="C103" s="0">
        <v>7</v>
      </c>
      <c r="D103" s="0" t="s">
        <v>185</v>
      </c>
      <c r="E103" s="0" t="s">
        <v>183</v>
      </c>
      <c r="F103" s="0" t="s">
        <v>184</v>
      </c>
      <c r="G103" s="0">
        <v>1</v>
      </c>
      <c r="H103" s="0">
        <v>7</v>
      </c>
      <c r="I103" s="0" t="s">
        <v>39</v>
      </c>
      <c r="J103" s="0" t="s">
        <v>36</v>
      </c>
    </row>
    <row r="104">
      <c r="A104" s="0">
        <v>2021</v>
      </c>
      <c r="B104" s="0" t="s">
        <v>181</v>
      </c>
      <c r="C104" s="0">
        <v>11</v>
      </c>
      <c r="D104" s="0" t="s">
        <v>185</v>
      </c>
      <c r="E104" s="0" t="s">
        <v>183</v>
      </c>
      <c r="F104" s="0" t="s">
        <v>184</v>
      </c>
      <c r="G104" s="0">
        <v>1</v>
      </c>
      <c r="H104" s="0">
        <v>11</v>
      </c>
      <c r="I104" s="0" t="s">
        <v>39</v>
      </c>
      <c r="J104" s="0" t="s">
        <v>36</v>
      </c>
    </row>
    <row r="105">
      <c r="A105" s="0">
        <v>2021</v>
      </c>
      <c r="B105" s="0" t="s">
        <v>181</v>
      </c>
      <c r="C105" s="0">
        <v>13</v>
      </c>
      <c r="D105" s="0" t="s">
        <v>185</v>
      </c>
      <c r="E105" s="0" t="s">
        <v>183</v>
      </c>
      <c r="F105" s="0" t="s">
        <v>184</v>
      </c>
      <c r="G105" s="0">
        <v>1</v>
      </c>
      <c r="H105" s="0">
        <v>13</v>
      </c>
      <c r="I105" s="0" t="s">
        <v>39</v>
      </c>
      <c r="J105" s="0" t="s">
        <v>36</v>
      </c>
    </row>
    <row r="106">
      <c r="A106" s="0">
        <v>2021</v>
      </c>
      <c r="B106" s="0" t="s">
        <v>181</v>
      </c>
      <c r="C106" s="0">
        <v>17</v>
      </c>
      <c r="D106" s="0" t="s">
        <v>185</v>
      </c>
      <c r="E106" s="0" t="s">
        <v>183</v>
      </c>
      <c r="F106" s="0" t="s">
        <v>184</v>
      </c>
      <c r="G106" s="0">
        <v>1</v>
      </c>
      <c r="H106" s="0">
        <v>17</v>
      </c>
      <c r="I106" s="0" t="s">
        <v>39</v>
      </c>
      <c r="J106" s="0" t="s">
        <v>36</v>
      </c>
    </row>
    <row r="107">
      <c r="A107" s="0">
        <v>2021</v>
      </c>
      <c r="B107" s="0" t="s">
        <v>181</v>
      </c>
      <c r="C107" s="0">
        <v>21</v>
      </c>
      <c r="D107" s="0" t="s">
        <v>182</v>
      </c>
      <c r="E107" s="0" t="s">
        <v>186</v>
      </c>
      <c r="F107" s="0" t="s">
        <v>184</v>
      </c>
      <c r="G107" s="0">
        <v>1</v>
      </c>
      <c r="H107" s="0">
        <v>21</v>
      </c>
      <c r="I107" s="0" t="s">
        <v>39</v>
      </c>
      <c r="J107" s="0" t="s">
        <v>36</v>
      </c>
    </row>
    <row r="108">
      <c r="A108" s="0">
        <v>2021</v>
      </c>
      <c r="B108" s="0" t="s">
        <v>181</v>
      </c>
      <c r="C108" s="0">
        <v>23</v>
      </c>
      <c r="D108" s="0" t="s">
        <v>182</v>
      </c>
      <c r="E108" s="0" t="s">
        <v>186</v>
      </c>
      <c r="F108" s="0" t="s">
        <v>184</v>
      </c>
      <c r="G108" s="0">
        <v>1</v>
      </c>
      <c r="H108" s="0">
        <v>23</v>
      </c>
      <c r="I108" s="0" t="s">
        <v>39</v>
      </c>
      <c r="J108" s="0" t="s">
        <v>36</v>
      </c>
    </row>
    <row r="109">
      <c r="A109" s="0">
        <v>2021</v>
      </c>
      <c r="B109" s="0" t="s">
        <v>181</v>
      </c>
      <c r="C109" s="0">
        <v>25</v>
      </c>
      <c r="D109" s="0" t="s">
        <v>185</v>
      </c>
      <c r="E109" s="0" t="s">
        <v>186</v>
      </c>
      <c r="F109" s="0" t="s">
        <v>187</v>
      </c>
      <c r="G109" s="0">
        <v>5</v>
      </c>
      <c r="H109" s="0">
        <v>125</v>
      </c>
      <c r="I109" s="0" t="s">
        <v>39</v>
      </c>
      <c r="J109" s="0" t="s">
        <v>36</v>
      </c>
    </row>
    <row r="110">
      <c r="A110" s="0">
        <v>2021</v>
      </c>
      <c r="B110" s="0" t="s">
        <v>181</v>
      </c>
      <c r="C110" s="0">
        <v>26</v>
      </c>
      <c r="D110" s="0" t="s">
        <v>182</v>
      </c>
      <c r="E110" s="0" t="s">
        <v>186</v>
      </c>
      <c r="F110" s="0" t="s">
        <v>187</v>
      </c>
      <c r="G110" s="0">
        <v>1</v>
      </c>
      <c r="H110" s="0">
        <v>26</v>
      </c>
      <c r="I110" s="0" t="s">
        <v>39</v>
      </c>
      <c r="J110" s="0" t="s">
        <v>36</v>
      </c>
    </row>
    <row r="111">
      <c r="A111" s="0">
        <v>2021</v>
      </c>
      <c r="B111" s="0" t="s">
        <v>181</v>
      </c>
      <c r="C111" s="0">
        <v>26</v>
      </c>
      <c r="D111" s="0" t="s">
        <v>185</v>
      </c>
      <c r="E111" s="0" t="s">
        <v>186</v>
      </c>
      <c r="F111" s="0" t="s">
        <v>187</v>
      </c>
      <c r="G111" s="0">
        <v>10</v>
      </c>
      <c r="H111" s="0">
        <v>260</v>
      </c>
      <c r="I111" s="0" t="s">
        <v>39</v>
      </c>
      <c r="J111" s="0" t="s">
        <v>36</v>
      </c>
    </row>
    <row r="112">
      <c r="A112" s="0">
        <v>2021</v>
      </c>
      <c r="B112" s="0" t="s">
        <v>181</v>
      </c>
      <c r="C112" s="0">
        <v>27</v>
      </c>
      <c r="D112" s="0" t="s">
        <v>182</v>
      </c>
      <c r="E112" s="0" t="s">
        <v>186</v>
      </c>
      <c r="F112" s="0" t="s">
        <v>187</v>
      </c>
      <c r="G112" s="0">
        <v>5</v>
      </c>
      <c r="H112" s="0">
        <v>135</v>
      </c>
      <c r="I112" s="0" t="s">
        <v>39</v>
      </c>
      <c r="J112" s="0" t="s">
        <v>36</v>
      </c>
    </row>
    <row r="113">
      <c r="A113" s="0">
        <v>2021</v>
      </c>
      <c r="B113" s="0" t="s">
        <v>181</v>
      </c>
      <c r="C113" s="0">
        <v>27</v>
      </c>
      <c r="D113" s="0" t="s">
        <v>185</v>
      </c>
      <c r="E113" s="0" t="s">
        <v>186</v>
      </c>
      <c r="F113" s="0" t="s">
        <v>187</v>
      </c>
      <c r="G113" s="0">
        <v>11</v>
      </c>
      <c r="H113" s="0">
        <v>297</v>
      </c>
      <c r="I113" s="0" t="s">
        <v>39</v>
      </c>
      <c r="J113" s="0" t="s">
        <v>36</v>
      </c>
    </row>
    <row r="114">
      <c r="A114" s="0">
        <v>2021</v>
      </c>
      <c r="B114" s="0" t="s">
        <v>181</v>
      </c>
      <c r="C114" s="0">
        <v>28</v>
      </c>
      <c r="D114" s="0" t="s">
        <v>182</v>
      </c>
      <c r="E114" s="0" t="s">
        <v>186</v>
      </c>
      <c r="F114" s="0" t="s">
        <v>187</v>
      </c>
      <c r="G114" s="0">
        <v>5</v>
      </c>
      <c r="H114" s="0">
        <v>140</v>
      </c>
      <c r="I114" s="0" t="s">
        <v>39</v>
      </c>
      <c r="J114" s="0" t="s">
        <v>36</v>
      </c>
    </row>
    <row r="115">
      <c r="A115" s="0">
        <v>2021</v>
      </c>
      <c r="B115" s="0" t="s">
        <v>181</v>
      </c>
      <c r="C115" s="0">
        <v>28</v>
      </c>
      <c r="D115" s="0" t="s">
        <v>185</v>
      </c>
      <c r="E115" s="0" t="s">
        <v>186</v>
      </c>
      <c r="F115" s="0" t="s">
        <v>187</v>
      </c>
      <c r="G115" s="0">
        <v>13</v>
      </c>
      <c r="H115" s="0">
        <v>364</v>
      </c>
      <c r="I115" s="0" t="s">
        <v>39</v>
      </c>
      <c r="J115" s="0" t="s">
        <v>36</v>
      </c>
    </row>
    <row r="116">
      <c r="A116" s="0">
        <v>2021</v>
      </c>
      <c r="B116" s="0" t="s">
        <v>181</v>
      </c>
      <c r="C116" s="0">
        <v>28</v>
      </c>
      <c r="D116" s="0" t="s">
        <v>185</v>
      </c>
      <c r="E116" s="0" t="s">
        <v>188</v>
      </c>
      <c r="F116" s="0" t="s">
        <v>187</v>
      </c>
      <c r="G116" s="0">
        <v>1</v>
      </c>
      <c r="H116" s="0">
        <v>28</v>
      </c>
      <c r="I116" s="0" t="s">
        <v>39</v>
      </c>
      <c r="J116" s="0" t="s">
        <v>36</v>
      </c>
    </row>
    <row r="117">
      <c r="A117" s="0">
        <v>2021</v>
      </c>
      <c r="B117" s="0" t="s">
        <v>181</v>
      </c>
      <c r="C117" s="0">
        <v>29</v>
      </c>
      <c r="D117" s="0" t="s">
        <v>182</v>
      </c>
      <c r="E117" s="0" t="s">
        <v>186</v>
      </c>
      <c r="F117" s="0" t="s">
        <v>187</v>
      </c>
      <c r="G117" s="0">
        <v>2</v>
      </c>
      <c r="H117" s="0">
        <v>58</v>
      </c>
      <c r="I117" s="0" t="s">
        <v>39</v>
      </c>
      <c r="J117" s="0" t="s">
        <v>36</v>
      </c>
    </row>
    <row r="118">
      <c r="A118" s="0">
        <v>2021</v>
      </c>
      <c r="B118" s="0" t="s">
        <v>181</v>
      </c>
      <c r="C118" s="0">
        <v>29</v>
      </c>
      <c r="D118" s="0" t="s">
        <v>185</v>
      </c>
      <c r="E118" s="0" t="s">
        <v>186</v>
      </c>
      <c r="F118" s="0" t="s">
        <v>187</v>
      </c>
      <c r="G118" s="0">
        <v>1</v>
      </c>
      <c r="H118" s="0">
        <v>29</v>
      </c>
      <c r="I118" s="0" t="s">
        <v>39</v>
      </c>
      <c r="J118" s="0" t="s">
        <v>36</v>
      </c>
    </row>
    <row r="119">
      <c r="A119" s="0">
        <v>2021</v>
      </c>
      <c r="B119" s="0" t="s">
        <v>181</v>
      </c>
      <c r="C119" s="0">
        <v>30</v>
      </c>
      <c r="D119" s="0" t="s">
        <v>182</v>
      </c>
      <c r="E119" s="0" t="s">
        <v>186</v>
      </c>
      <c r="F119" s="0" t="s">
        <v>189</v>
      </c>
      <c r="G119" s="0">
        <v>3</v>
      </c>
      <c r="H119" s="0">
        <v>90</v>
      </c>
      <c r="I119" s="0" t="s">
        <v>39</v>
      </c>
      <c r="J119" s="0" t="s">
        <v>36</v>
      </c>
    </row>
    <row r="120">
      <c r="A120" s="0">
        <v>2021</v>
      </c>
      <c r="B120" s="0" t="s">
        <v>181</v>
      </c>
      <c r="C120" s="0">
        <v>30</v>
      </c>
      <c r="D120" s="0" t="s">
        <v>185</v>
      </c>
      <c r="E120" s="0" t="s">
        <v>186</v>
      </c>
      <c r="F120" s="0" t="s">
        <v>189</v>
      </c>
      <c r="G120" s="0">
        <v>2</v>
      </c>
      <c r="H120" s="0">
        <v>60</v>
      </c>
      <c r="I120" s="0" t="s">
        <v>39</v>
      </c>
      <c r="J120" s="0" t="s">
        <v>36</v>
      </c>
    </row>
    <row r="121">
      <c r="A121" s="0">
        <v>2021</v>
      </c>
      <c r="B121" s="0" t="s">
        <v>181</v>
      </c>
      <c r="C121" s="0">
        <v>31</v>
      </c>
      <c r="D121" s="0" t="s">
        <v>182</v>
      </c>
      <c r="E121" s="0" t="s">
        <v>186</v>
      </c>
      <c r="F121" s="0" t="s">
        <v>189</v>
      </c>
      <c r="G121" s="0">
        <v>3</v>
      </c>
      <c r="H121" s="0">
        <v>93</v>
      </c>
      <c r="I121" s="0" t="s">
        <v>39</v>
      </c>
      <c r="J121" s="0" t="s">
        <v>36</v>
      </c>
    </row>
    <row r="122">
      <c r="A122" s="0">
        <v>2021</v>
      </c>
      <c r="B122" s="0" t="s">
        <v>181</v>
      </c>
      <c r="C122" s="0">
        <v>32</v>
      </c>
      <c r="D122" s="0" t="s">
        <v>182</v>
      </c>
      <c r="E122" s="0" t="s">
        <v>186</v>
      </c>
      <c r="F122" s="0" t="s">
        <v>189</v>
      </c>
      <c r="G122" s="0">
        <v>1</v>
      </c>
      <c r="H122" s="0">
        <v>32</v>
      </c>
      <c r="I122" s="0" t="s">
        <v>39</v>
      </c>
      <c r="J122" s="0" t="s">
        <v>36</v>
      </c>
    </row>
    <row r="123">
      <c r="A123" s="0">
        <v>2021</v>
      </c>
      <c r="B123" s="0" t="s">
        <v>181</v>
      </c>
      <c r="C123" s="0">
        <v>32</v>
      </c>
      <c r="D123" s="0" t="s">
        <v>185</v>
      </c>
      <c r="E123" s="0" t="s">
        <v>186</v>
      </c>
      <c r="F123" s="0" t="s">
        <v>189</v>
      </c>
      <c r="G123" s="0">
        <v>6</v>
      </c>
      <c r="H123" s="0">
        <v>192</v>
      </c>
      <c r="I123" s="0" t="s">
        <v>39</v>
      </c>
      <c r="J123" s="0" t="s">
        <v>36</v>
      </c>
    </row>
    <row r="124">
      <c r="A124" s="0">
        <v>2021</v>
      </c>
      <c r="B124" s="0" t="s">
        <v>181</v>
      </c>
      <c r="C124" s="0">
        <v>33</v>
      </c>
      <c r="D124" s="0" t="s">
        <v>185</v>
      </c>
      <c r="E124" s="0" t="s">
        <v>186</v>
      </c>
      <c r="F124" s="0" t="s">
        <v>189</v>
      </c>
      <c r="G124" s="0">
        <v>3</v>
      </c>
      <c r="H124" s="0">
        <v>99</v>
      </c>
      <c r="I124" s="0" t="s">
        <v>39</v>
      </c>
      <c r="J124" s="0" t="s">
        <v>36</v>
      </c>
    </row>
    <row r="125">
      <c r="A125" s="0">
        <v>2021</v>
      </c>
      <c r="B125" s="0" t="s">
        <v>181</v>
      </c>
      <c r="C125" s="0">
        <v>33</v>
      </c>
      <c r="D125" s="0" t="s">
        <v>185</v>
      </c>
      <c r="E125" s="0" t="s">
        <v>188</v>
      </c>
      <c r="F125" s="0" t="s">
        <v>189</v>
      </c>
      <c r="G125" s="0">
        <v>2</v>
      </c>
      <c r="H125" s="0">
        <v>66</v>
      </c>
      <c r="I125" s="0" t="s">
        <v>39</v>
      </c>
      <c r="J125" s="0" t="s">
        <v>36</v>
      </c>
    </row>
    <row r="126">
      <c r="A126" s="0">
        <v>2021</v>
      </c>
      <c r="B126" s="0" t="s">
        <v>181</v>
      </c>
      <c r="C126" s="0">
        <v>34</v>
      </c>
      <c r="D126" s="0" t="s">
        <v>182</v>
      </c>
      <c r="E126" s="0" t="s">
        <v>186</v>
      </c>
      <c r="F126" s="0" t="s">
        <v>189</v>
      </c>
      <c r="G126" s="0">
        <v>1</v>
      </c>
      <c r="H126" s="0">
        <v>34</v>
      </c>
      <c r="I126" s="0" t="s">
        <v>39</v>
      </c>
      <c r="J126" s="0" t="s">
        <v>36</v>
      </c>
    </row>
    <row r="127">
      <c r="A127" s="0">
        <v>2021</v>
      </c>
      <c r="B127" s="0" t="s">
        <v>181</v>
      </c>
      <c r="C127" s="0">
        <v>34</v>
      </c>
      <c r="D127" s="0" t="s">
        <v>182</v>
      </c>
      <c r="E127" s="0" t="s">
        <v>188</v>
      </c>
      <c r="F127" s="0" t="s">
        <v>189</v>
      </c>
      <c r="G127" s="0">
        <v>1</v>
      </c>
      <c r="H127" s="0">
        <v>34</v>
      </c>
      <c r="I127" s="0" t="s">
        <v>39</v>
      </c>
      <c r="J127" s="0" t="s">
        <v>36</v>
      </c>
    </row>
    <row r="128">
      <c r="A128" s="0">
        <v>2021</v>
      </c>
      <c r="B128" s="0" t="s">
        <v>181</v>
      </c>
      <c r="C128" s="0">
        <v>34</v>
      </c>
      <c r="D128" s="0" t="s">
        <v>185</v>
      </c>
      <c r="E128" s="0" t="s">
        <v>186</v>
      </c>
      <c r="F128" s="0" t="s">
        <v>189</v>
      </c>
      <c r="G128" s="0">
        <v>1</v>
      </c>
      <c r="H128" s="0">
        <v>34</v>
      </c>
      <c r="I128" s="0" t="s">
        <v>39</v>
      </c>
      <c r="J128" s="0" t="s">
        <v>36</v>
      </c>
    </row>
    <row r="129">
      <c r="A129" s="0">
        <v>2021</v>
      </c>
      <c r="B129" s="0" t="s">
        <v>181</v>
      </c>
      <c r="C129" s="0">
        <v>35</v>
      </c>
      <c r="D129" s="0" t="s">
        <v>182</v>
      </c>
      <c r="E129" s="0" t="s">
        <v>186</v>
      </c>
      <c r="F129" s="0" t="s">
        <v>190</v>
      </c>
      <c r="G129" s="0">
        <v>2</v>
      </c>
      <c r="H129" s="0">
        <v>70</v>
      </c>
      <c r="I129" s="0" t="s">
        <v>39</v>
      </c>
      <c r="J129" s="0" t="s">
        <v>36</v>
      </c>
    </row>
    <row r="130">
      <c r="A130" s="0">
        <v>2021</v>
      </c>
      <c r="B130" s="0" t="s">
        <v>181</v>
      </c>
      <c r="C130" s="0">
        <v>35</v>
      </c>
      <c r="D130" s="0" t="s">
        <v>185</v>
      </c>
      <c r="E130" s="0" t="s">
        <v>186</v>
      </c>
      <c r="F130" s="0" t="s">
        <v>190</v>
      </c>
      <c r="G130" s="0">
        <v>3</v>
      </c>
      <c r="H130" s="0">
        <v>105</v>
      </c>
      <c r="I130" s="0" t="s">
        <v>39</v>
      </c>
      <c r="J130" s="0" t="s">
        <v>36</v>
      </c>
    </row>
    <row r="131">
      <c r="A131" s="0">
        <v>2021</v>
      </c>
      <c r="B131" s="0" t="s">
        <v>181</v>
      </c>
      <c r="C131" s="0">
        <v>36</v>
      </c>
      <c r="D131" s="0" t="s">
        <v>182</v>
      </c>
      <c r="E131" s="0" t="s">
        <v>186</v>
      </c>
      <c r="F131" s="0" t="s">
        <v>190</v>
      </c>
      <c r="G131" s="0">
        <v>6</v>
      </c>
      <c r="H131" s="0">
        <v>216</v>
      </c>
      <c r="I131" s="0" t="s">
        <v>39</v>
      </c>
      <c r="J131" s="0" t="s">
        <v>36</v>
      </c>
    </row>
    <row r="132">
      <c r="A132" s="0">
        <v>2021</v>
      </c>
      <c r="B132" s="0" t="s">
        <v>181</v>
      </c>
      <c r="C132" s="0">
        <v>36</v>
      </c>
      <c r="D132" s="0" t="s">
        <v>182</v>
      </c>
      <c r="E132" s="0" t="s">
        <v>188</v>
      </c>
      <c r="F132" s="0" t="s">
        <v>190</v>
      </c>
      <c r="G132" s="0">
        <v>1</v>
      </c>
      <c r="H132" s="0">
        <v>36</v>
      </c>
      <c r="I132" s="0" t="s">
        <v>39</v>
      </c>
      <c r="J132" s="0" t="s">
        <v>36</v>
      </c>
    </row>
    <row r="133">
      <c r="A133" s="0">
        <v>2021</v>
      </c>
      <c r="B133" s="0" t="s">
        <v>181</v>
      </c>
      <c r="C133" s="0">
        <v>36</v>
      </c>
      <c r="D133" s="0" t="s">
        <v>185</v>
      </c>
      <c r="E133" s="0" t="s">
        <v>186</v>
      </c>
      <c r="F133" s="0" t="s">
        <v>190</v>
      </c>
      <c r="G133" s="0">
        <v>6</v>
      </c>
      <c r="H133" s="0">
        <v>216</v>
      </c>
      <c r="I133" s="0" t="s">
        <v>39</v>
      </c>
      <c r="J133" s="0" t="s">
        <v>36</v>
      </c>
    </row>
    <row r="134">
      <c r="A134" s="0">
        <v>2021</v>
      </c>
      <c r="B134" s="0" t="s">
        <v>181</v>
      </c>
      <c r="C134" s="0">
        <v>37</v>
      </c>
      <c r="D134" s="0" t="s">
        <v>182</v>
      </c>
      <c r="E134" s="0" t="s">
        <v>186</v>
      </c>
      <c r="F134" s="0" t="s">
        <v>190</v>
      </c>
      <c r="G134" s="0">
        <v>1</v>
      </c>
      <c r="H134" s="0">
        <v>37</v>
      </c>
      <c r="I134" s="0" t="s">
        <v>39</v>
      </c>
      <c r="J134" s="0" t="s">
        <v>36</v>
      </c>
    </row>
    <row r="135">
      <c r="A135" s="0">
        <v>2021</v>
      </c>
      <c r="B135" s="0" t="s">
        <v>181</v>
      </c>
      <c r="C135" s="0">
        <v>37</v>
      </c>
      <c r="D135" s="0" t="s">
        <v>185</v>
      </c>
      <c r="E135" s="0" t="s">
        <v>186</v>
      </c>
      <c r="F135" s="0" t="s">
        <v>190</v>
      </c>
      <c r="G135" s="0">
        <v>2</v>
      </c>
      <c r="H135" s="0">
        <v>74</v>
      </c>
      <c r="I135" s="0" t="s">
        <v>39</v>
      </c>
      <c r="J135" s="0" t="s">
        <v>36</v>
      </c>
    </row>
    <row r="136">
      <c r="A136" s="0">
        <v>2021</v>
      </c>
      <c r="B136" s="0" t="s">
        <v>181</v>
      </c>
      <c r="C136" s="0">
        <v>38</v>
      </c>
      <c r="D136" s="0" t="s">
        <v>182</v>
      </c>
      <c r="E136" s="0" t="s">
        <v>186</v>
      </c>
      <c r="F136" s="0" t="s">
        <v>190</v>
      </c>
      <c r="G136" s="0">
        <v>2</v>
      </c>
      <c r="H136" s="0">
        <v>76</v>
      </c>
      <c r="I136" s="0" t="s">
        <v>39</v>
      </c>
      <c r="J136" s="0" t="s">
        <v>36</v>
      </c>
    </row>
    <row r="137">
      <c r="A137" s="0">
        <v>2021</v>
      </c>
      <c r="B137" s="0" t="s">
        <v>181</v>
      </c>
      <c r="C137" s="0">
        <v>38</v>
      </c>
      <c r="D137" s="0" t="s">
        <v>185</v>
      </c>
      <c r="E137" s="0" t="s">
        <v>186</v>
      </c>
      <c r="F137" s="0" t="s">
        <v>190</v>
      </c>
      <c r="G137" s="0">
        <v>2</v>
      </c>
      <c r="H137" s="0">
        <v>76</v>
      </c>
      <c r="I137" s="0" t="s">
        <v>39</v>
      </c>
      <c r="J137" s="0" t="s">
        <v>36</v>
      </c>
    </row>
    <row r="138">
      <c r="A138" s="0">
        <v>2021</v>
      </c>
      <c r="B138" s="0" t="s">
        <v>181</v>
      </c>
      <c r="C138" s="0">
        <v>39</v>
      </c>
      <c r="D138" s="0" t="s">
        <v>182</v>
      </c>
      <c r="E138" s="0" t="s">
        <v>186</v>
      </c>
      <c r="F138" s="0" t="s">
        <v>190</v>
      </c>
      <c r="G138" s="0">
        <v>1</v>
      </c>
      <c r="H138" s="0">
        <v>39</v>
      </c>
      <c r="I138" s="0" t="s">
        <v>39</v>
      </c>
      <c r="J138" s="0" t="s">
        <v>36</v>
      </c>
    </row>
    <row r="139">
      <c r="A139" s="0">
        <v>2021</v>
      </c>
      <c r="B139" s="0" t="s">
        <v>181</v>
      </c>
      <c r="C139" s="0">
        <v>39</v>
      </c>
      <c r="D139" s="0" t="s">
        <v>185</v>
      </c>
      <c r="E139" s="0" t="s">
        <v>186</v>
      </c>
      <c r="F139" s="0" t="s">
        <v>190</v>
      </c>
      <c r="G139" s="0">
        <v>2</v>
      </c>
      <c r="H139" s="0">
        <v>78</v>
      </c>
      <c r="I139" s="0" t="s">
        <v>39</v>
      </c>
      <c r="J139" s="0" t="s">
        <v>36</v>
      </c>
    </row>
    <row r="140">
      <c r="A140" s="0">
        <v>2021</v>
      </c>
      <c r="B140" s="0" t="s">
        <v>181</v>
      </c>
      <c r="C140" s="0">
        <v>40</v>
      </c>
      <c r="D140" s="0" t="s">
        <v>185</v>
      </c>
      <c r="E140" s="0" t="s">
        <v>186</v>
      </c>
      <c r="F140" s="0" t="s">
        <v>191</v>
      </c>
      <c r="G140" s="0">
        <v>3</v>
      </c>
      <c r="H140" s="0">
        <v>120</v>
      </c>
      <c r="I140" s="0" t="s">
        <v>39</v>
      </c>
      <c r="J140" s="0" t="s">
        <v>36</v>
      </c>
    </row>
    <row r="141">
      <c r="A141" s="0">
        <v>2021</v>
      </c>
      <c r="B141" s="0" t="s">
        <v>181</v>
      </c>
      <c r="C141" s="0">
        <v>40</v>
      </c>
      <c r="D141" s="0" t="s">
        <v>185</v>
      </c>
      <c r="E141" s="0" t="s">
        <v>188</v>
      </c>
      <c r="F141" s="0" t="s">
        <v>191</v>
      </c>
      <c r="G141" s="0">
        <v>1</v>
      </c>
      <c r="H141" s="0">
        <v>40</v>
      </c>
      <c r="I141" s="0" t="s">
        <v>39</v>
      </c>
      <c r="J141" s="0" t="s">
        <v>36</v>
      </c>
    </row>
    <row r="142">
      <c r="A142" s="0">
        <v>2021</v>
      </c>
      <c r="B142" s="0" t="s">
        <v>181</v>
      </c>
      <c r="C142" s="0">
        <v>41</v>
      </c>
      <c r="D142" s="0" t="s">
        <v>182</v>
      </c>
      <c r="E142" s="0" t="s">
        <v>186</v>
      </c>
      <c r="F142" s="0" t="s">
        <v>191</v>
      </c>
      <c r="G142" s="0">
        <v>2</v>
      </c>
      <c r="H142" s="0">
        <v>82</v>
      </c>
      <c r="I142" s="0" t="s">
        <v>39</v>
      </c>
      <c r="J142" s="0" t="s">
        <v>36</v>
      </c>
    </row>
    <row r="143">
      <c r="A143" s="0">
        <v>2021</v>
      </c>
      <c r="B143" s="0" t="s">
        <v>181</v>
      </c>
      <c r="C143" s="0">
        <v>41</v>
      </c>
      <c r="D143" s="0" t="s">
        <v>185</v>
      </c>
      <c r="E143" s="0" t="s">
        <v>186</v>
      </c>
      <c r="F143" s="0" t="s">
        <v>191</v>
      </c>
      <c r="G143" s="0">
        <v>2</v>
      </c>
      <c r="H143" s="0">
        <v>82</v>
      </c>
      <c r="I143" s="0" t="s">
        <v>39</v>
      </c>
      <c r="J143" s="0" t="s">
        <v>36</v>
      </c>
    </row>
    <row r="144">
      <c r="A144" s="0">
        <v>2021</v>
      </c>
      <c r="B144" s="0" t="s">
        <v>181</v>
      </c>
      <c r="C144" s="0">
        <v>42</v>
      </c>
      <c r="D144" s="0" t="s">
        <v>182</v>
      </c>
      <c r="E144" s="0" t="s">
        <v>186</v>
      </c>
      <c r="F144" s="0" t="s">
        <v>191</v>
      </c>
      <c r="G144" s="0">
        <v>1</v>
      </c>
      <c r="H144" s="0">
        <v>42</v>
      </c>
      <c r="I144" s="0" t="s">
        <v>39</v>
      </c>
      <c r="J144" s="0" t="s">
        <v>36</v>
      </c>
    </row>
    <row r="145">
      <c r="A145" s="0">
        <v>2021</v>
      </c>
      <c r="B145" s="0" t="s">
        <v>181</v>
      </c>
      <c r="C145" s="0">
        <v>42</v>
      </c>
      <c r="D145" s="0" t="s">
        <v>185</v>
      </c>
      <c r="E145" s="0" t="s">
        <v>186</v>
      </c>
      <c r="F145" s="0" t="s">
        <v>191</v>
      </c>
      <c r="G145" s="0">
        <v>3</v>
      </c>
      <c r="H145" s="0">
        <v>126</v>
      </c>
      <c r="I145" s="0" t="s">
        <v>39</v>
      </c>
      <c r="J145" s="0" t="s">
        <v>36</v>
      </c>
    </row>
    <row r="146">
      <c r="A146" s="0">
        <v>2021</v>
      </c>
      <c r="B146" s="0" t="s">
        <v>181</v>
      </c>
      <c r="C146" s="0">
        <v>43</v>
      </c>
      <c r="D146" s="0" t="s">
        <v>182</v>
      </c>
      <c r="E146" s="0" t="s">
        <v>186</v>
      </c>
      <c r="F146" s="0" t="s">
        <v>191</v>
      </c>
      <c r="G146" s="0">
        <v>1</v>
      </c>
      <c r="H146" s="0">
        <v>43</v>
      </c>
      <c r="I146" s="0" t="s">
        <v>39</v>
      </c>
      <c r="J146" s="0" t="s">
        <v>36</v>
      </c>
    </row>
    <row r="147">
      <c r="A147" s="0">
        <v>2021</v>
      </c>
      <c r="B147" s="0" t="s">
        <v>181</v>
      </c>
      <c r="C147" s="0">
        <v>43</v>
      </c>
      <c r="D147" s="0" t="s">
        <v>182</v>
      </c>
      <c r="E147" s="0" t="s">
        <v>188</v>
      </c>
      <c r="F147" s="0" t="s">
        <v>191</v>
      </c>
      <c r="G147" s="0">
        <v>1</v>
      </c>
      <c r="H147" s="0">
        <v>43</v>
      </c>
      <c r="I147" s="0" t="s">
        <v>39</v>
      </c>
      <c r="J147" s="0" t="s">
        <v>36</v>
      </c>
    </row>
    <row r="148">
      <c r="A148" s="0">
        <v>2021</v>
      </c>
      <c r="B148" s="0" t="s">
        <v>181</v>
      </c>
      <c r="C148" s="0">
        <v>43</v>
      </c>
      <c r="D148" s="0" t="s">
        <v>185</v>
      </c>
      <c r="E148" s="0" t="s">
        <v>186</v>
      </c>
      <c r="F148" s="0" t="s">
        <v>191</v>
      </c>
      <c r="G148" s="0">
        <v>4</v>
      </c>
      <c r="H148" s="0">
        <v>172</v>
      </c>
      <c r="I148" s="0" t="s">
        <v>39</v>
      </c>
      <c r="J148" s="0" t="s">
        <v>36</v>
      </c>
    </row>
    <row r="149">
      <c r="A149" s="0">
        <v>2021</v>
      </c>
      <c r="B149" s="0" t="s">
        <v>181</v>
      </c>
      <c r="C149" s="0">
        <v>44</v>
      </c>
      <c r="D149" s="0" t="s">
        <v>182</v>
      </c>
      <c r="E149" s="0" t="s">
        <v>186</v>
      </c>
      <c r="F149" s="0" t="s">
        <v>191</v>
      </c>
      <c r="G149" s="0">
        <v>3</v>
      </c>
      <c r="H149" s="0">
        <v>132</v>
      </c>
      <c r="I149" s="0" t="s">
        <v>39</v>
      </c>
      <c r="J149" s="0" t="s">
        <v>36</v>
      </c>
    </row>
    <row r="150">
      <c r="A150" s="0">
        <v>2021</v>
      </c>
      <c r="B150" s="0" t="s">
        <v>181</v>
      </c>
      <c r="C150" s="0">
        <v>44</v>
      </c>
      <c r="D150" s="0" t="s">
        <v>185</v>
      </c>
      <c r="E150" s="0" t="s">
        <v>186</v>
      </c>
      <c r="F150" s="0" t="s">
        <v>191</v>
      </c>
      <c r="G150" s="0">
        <v>4</v>
      </c>
      <c r="H150" s="0">
        <v>176</v>
      </c>
      <c r="I150" s="0" t="s">
        <v>39</v>
      </c>
      <c r="J150" s="0" t="s">
        <v>36</v>
      </c>
    </row>
    <row r="151">
      <c r="A151" s="0">
        <v>2021</v>
      </c>
      <c r="B151" s="0" t="s">
        <v>181</v>
      </c>
      <c r="C151" s="0">
        <v>45</v>
      </c>
      <c r="D151" s="0" t="s">
        <v>185</v>
      </c>
      <c r="E151" s="0" t="s">
        <v>186</v>
      </c>
      <c r="F151" s="0" t="s">
        <v>192</v>
      </c>
      <c r="G151" s="0">
        <v>1</v>
      </c>
      <c r="H151" s="0">
        <v>45</v>
      </c>
      <c r="I151" s="0" t="s">
        <v>39</v>
      </c>
      <c r="J151" s="0" t="s">
        <v>36</v>
      </c>
    </row>
    <row r="152">
      <c r="A152" s="0">
        <v>2021</v>
      </c>
      <c r="B152" s="0" t="s">
        <v>181</v>
      </c>
      <c r="C152" s="0">
        <v>46</v>
      </c>
      <c r="D152" s="0" t="s">
        <v>182</v>
      </c>
      <c r="E152" s="0" t="s">
        <v>186</v>
      </c>
      <c r="F152" s="0" t="s">
        <v>192</v>
      </c>
      <c r="G152" s="0">
        <v>1</v>
      </c>
      <c r="H152" s="0">
        <v>46</v>
      </c>
      <c r="I152" s="0" t="s">
        <v>39</v>
      </c>
      <c r="J152" s="0" t="s">
        <v>36</v>
      </c>
    </row>
    <row r="153">
      <c r="A153" s="0">
        <v>2021</v>
      </c>
      <c r="B153" s="0" t="s">
        <v>181</v>
      </c>
      <c r="C153" s="0">
        <v>46</v>
      </c>
      <c r="D153" s="0" t="s">
        <v>185</v>
      </c>
      <c r="E153" s="0" t="s">
        <v>186</v>
      </c>
      <c r="F153" s="0" t="s">
        <v>192</v>
      </c>
      <c r="G153" s="0">
        <v>5</v>
      </c>
      <c r="H153" s="0">
        <v>230</v>
      </c>
      <c r="I153" s="0" t="s">
        <v>39</v>
      </c>
      <c r="J153" s="0" t="s">
        <v>36</v>
      </c>
    </row>
    <row r="154">
      <c r="A154" s="0">
        <v>2021</v>
      </c>
      <c r="B154" s="0" t="s">
        <v>181</v>
      </c>
      <c r="C154" s="0">
        <v>47</v>
      </c>
      <c r="D154" s="0" t="s">
        <v>185</v>
      </c>
      <c r="E154" s="0" t="s">
        <v>186</v>
      </c>
      <c r="F154" s="0" t="s">
        <v>192</v>
      </c>
      <c r="G154" s="0">
        <v>6</v>
      </c>
      <c r="H154" s="0">
        <v>282</v>
      </c>
      <c r="I154" s="0" t="s">
        <v>39</v>
      </c>
      <c r="J154" s="0" t="s">
        <v>36</v>
      </c>
    </row>
    <row r="155">
      <c r="A155" s="0">
        <v>2021</v>
      </c>
      <c r="B155" s="0" t="s">
        <v>181</v>
      </c>
      <c r="C155" s="0">
        <v>48</v>
      </c>
      <c r="D155" s="0" t="s">
        <v>182</v>
      </c>
      <c r="E155" s="0" t="s">
        <v>186</v>
      </c>
      <c r="F155" s="0" t="s">
        <v>192</v>
      </c>
      <c r="G155" s="0">
        <v>4</v>
      </c>
      <c r="H155" s="0">
        <v>192</v>
      </c>
      <c r="I155" s="0" t="s">
        <v>39</v>
      </c>
      <c r="J155" s="0" t="s">
        <v>36</v>
      </c>
    </row>
    <row r="156">
      <c r="A156" s="0">
        <v>2021</v>
      </c>
      <c r="B156" s="0" t="s">
        <v>181</v>
      </c>
      <c r="C156" s="0">
        <v>48</v>
      </c>
      <c r="D156" s="0" t="s">
        <v>185</v>
      </c>
      <c r="E156" s="0" t="s">
        <v>186</v>
      </c>
      <c r="F156" s="0" t="s">
        <v>192</v>
      </c>
      <c r="G156" s="0">
        <v>4</v>
      </c>
      <c r="H156" s="0">
        <v>192</v>
      </c>
      <c r="I156" s="0" t="s">
        <v>39</v>
      </c>
      <c r="J156" s="0" t="s">
        <v>36</v>
      </c>
    </row>
    <row r="157">
      <c r="A157" s="0">
        <v>2021</v>
      </c>
      <c r="B157" s="0" t="s">
        <v>181</v>
      </c>
      <c r="C157" s="0">
        <v>49</v>
      </c>
      <c r="D157" s="0" t="s">
        <v>182</v>
      </c>
      <c r="E157" s="0" t="s">
        <v>188</v>
      </c>
      <c r="F157" s="0" t="s">
        <v>192</v>
      </c>
      <c r="G157" s="0">
        <v>35</v>
      </c>
      <c r="H157" s="0">
        <v>1715</v>
      </c>
      <c r="I157" s="0" t="s">
        <v>39</v>
      </c>
      <c r="J157" s="0" t="s">
        <v>36</v>
      </c>
    </row>
    <row r="158">
      <c r="A158" s="0">
        <v>2021</v>
      </c>
      <c r="B158" s="0" t="s">
        <v>181</v>
      </c>
      <c r="C158" s="0">
        <v>49</v>
      </c>
      <c r="D158" s="0" t="s">
        <v>185</v>
      </c>
      <c r="E158" s="0" t="s">
        <v>186</v>
      </c>
      <c r="F158" s="0" t="s">
        <v>192</v>
      </c>
      <c r="G158" s="0">
        <v>3</v>
      </c>
      <c r="H158" s="0">
        <v>147</v>
      </c>
      <c r="I158" s="0" t="s">
        <v>39</v>
      </c>
      <c r="J158" s="0" t="s">
        <v>36</v>
      </c>
    </row>
    <row r="159">
      <c r="A159" s="0">
        <v>2021</v>
      </c>
      <c r="B159" s="0" t="s">
        <v>181</v>
      </c>
      <c r="C159" s="0">
        <v>50</v>
      </c>
      <c r="D159" s="0" t="s">
        <v>182</v>
      </c>
      <c r="E159" s="0" t="s">
        <v>186</v>
      </c>
      <c r="F159" s="0" t="s">
        <v>193</v>
      </c>
      <c r="G159" s="0">
        <v>1</v>
      </c>
      <c r="H159" s="0">
        <v>50</v>
      </c>
      <c r="I159" s="0" t="s">
        <v>39</v>
      </c>
      <c r="J159" s="0" t="s">
        <v>36</v>
      </c>
    </row>
    <row r="160">
      <c r="A160" s="0">
        <v>2021</v>
      </c>
      <c r="B160" s="0" t="s">
        <v>181</v>
      </c>
      <c r="C160" s="0">
        <v>50</v>
      </c>
      <c r="D160" s="0" t="s">
        <v>182</v>
      </c>
      <c r="E160" s="0" t="s">
        <v>188</v>
      </c>
      <c r="F160" s="0" t="s">
        <v>193</v>
      </c>
      <c r="G160" s="0">
        <v>73</v>
      </c>
      <c r="H160" s="0">
        <v>3650</v>
      </c>
      <c r="I160" s="0" t="s">
        <v>39</v>
      </c>
      <c r="J160" s="0" t="s">
        <v>36</v>
      </c>
    </row>
    <row r="161">
      <c r="A161" s="0">
        <v>2021</v>
      </c>
      <c r="B161" s="0" t="s">
        <v>181</v>
      </c>
      <c r="C161" s="0">
        <v>50</v>
      </c>
      <c r="D161" s="0" t="s">
        <v>185</v>
      </c>
      <c r="E161" s="0" t="s">
        <v>186</v>
      </c>
      <c r="F161" s="0" t="s">
        <v>193</v>
      </c>
      <c r="G161" s="0">
        <v>2</v>
      </c>
      <c r="H161" s="0">
        <v>100</v>
      </c>
      <c r="I161" s="0" t="s">
        <v>39</v>
      </c>
      <c r="J161" s="0" t="s">
        <v>36</v>
      </c>
    </row>
    <row r="162">
      <c r="A162" s="0">
        <v>2021</v>
      </c>
      <c r="B162" s="0" t="s">
        <v>181</v>
      </c>
      <c r="C162" s="0">
        <v>51</v>
      </c>
      <c r="D162" s="0" t="s">
        <v>185</v>
      </c>
      <c r="E162" s="0" t="s">
        <v>186</v>
      </c>
      <c r="F162" s="0" t="s">
        <v>193</v>
      </c>
      <c r="G162" s="0">
        <v>5</v>
      </c>
      <c r="H162" s="0">
        <v>255</v>
      </c>
      <c r="I162" s="0" t="s">
        <v>39</v>
      </c>
      <c r="J162" s="0" t="s">
        <v>36</v>
      </c>
    </row>
    <row r="163">
      <c r="A163" s="0">
        <v>2021</v>
      </c>
      <c r="B163" s="0" t="s">
        <v>181</v>
      </c>
      <c r="C163" s="0">
        <v>52</v>
      </c>
      <c r="D163" s="0" t="s">
        <v>182</v>
      </c>
      <c r="E163" s="0" t="s">
        <v>186</v>
      </c>
      <c r="F163" s="0" t="s">
        <v>193</v>
      </c>
      <c r="G163" s="0">
        <v>1</v>
      </c>
      <c r="H163" s="0">
        <v>52</v>
      </c>
      <c r="I163" s="0" t="s">
        <v>39</v>
      </c>
      <c r="J163" s="0" t="s">
        <v>36</v>
      </c>
    </row>
    <row r="164">
      <c r="A164" s="0">
        <v>2021</v>
      </c>
      <c r="B164" s="0" t="s">
        <v>181</v>
      </c>
      <c r="C164" s="0">
        <v>52</v>
      </c>
      <c r="D164" s="0" t="s">
        <v>185</v>
      </c>
      <c r="E164" s="0" t="s">
        <v>186</v>
      </c>
      <c r="F164" s="0" t="s">
        <v>193</v>
      </c>
      <c r="G164" s="0">
        <v>2</v>
      </c>
      <c r="H164" s="0">
        <v>104</v>
      </c>
      <c r="I164" s="0" t="s">
        <v>39</v>
      </c>
      <c r="J164" s="0" t="s">
        <v>36</v>
      </c>
    </row>
    <row r="165">
      <c r="A165" s="0">
        <v>2021</v>
      </c>
      <c r="B165" s="0" t="s">
        <v>181</v>
      </c>
      <c r="C165" s="0">
        <v>53</v>
      </c>
      <c r="D165" s="0" t="s">
        <v>182</v>
      </c>
      <c r="E165" s="0" t="s">
        <v>186</v>
      </c>
      <c r="F165" s="0" t="s">
        <v>193</v>
      </c>
      <c r="G165" s="0">
        <v>2</v>
      </c>
      <c r="H165" s="0">
        <v>106</v>
      </c>
      <c r="I165" s="0" t="s">
        <v>39</v>
      </c>
      <c r="J165" s="0" t="s">
        <v>36</v>
      </c>
    </row>
    <row r="166">
      <c r="A166" s="0">
        <v>2021</v>
      </c>
      <c r="B166" s="0" t="s">
        <v>181</v>
      </c>
      <c r="C166" s="0">
        <v>53</v>
      </c>
      <c r="D166" s="0" t="s">
        <v>185</v>
      </c>
      <c r="E166" s="0" t="s">
        <v>186</v>
      </c>
      <c r="F166" s="0" t="s">
        <v>193</v>
      </c>
      <c r="G166" s="0">
        <v>4</v>
      </c>
      <c r="H166" s="0">
        <v>212</v>
      </c>
      <c r="I166" s="0" t="s">
        <v>39</v>
      </c>
      <c r="J166" s="0" t="s">
        <v>36</v>
      </c>
    </row>
    <row r="167">
      <c r="A167" s="0">
        <v>2021</v>
      </c>
      <c r="B167" s="0" t="s">
        <v>181</v>
      </c>
      <c r="C167" s="0">
        <v>54</v>
      </c>
      <c r="D167" s="0" t="s">
        <v>182</v>
      </c>
      <c r="E167" s="0" t="s">
        <v>186</v>
      </c>
      <c r="F167" s="0" t="s">
        <v>193</v>
      </c>
      <c r="G167" s="0">
        <v>2</v>
      </c>
      <c r="H167" s="0">
        <v>108</v>
      </c>
      <c r="I167" s="0" t="s">
        <v>39</v>
      </c>
      <c r="J167" s="0" t="s">
        <v>36</v>
      </c>
    </row>
    <row r="168">
      <c r="A168" s="0">
        <v>2021</v>
      </c>
      <c r="B168" s="0" t="s">
        <v>181</v>
      </c>
      <c r="C168" s="0">
        <v>54</v>
      </c>
      <c r="D168" s="0" t="s">
        <v>185</v>
      </c>
      <c r="E168" s="0" t="s">
        <v>186</v>
      </c>
      <c r="F168" s="0" t="s">
        <v>193</v>
      </c>
      <c r="G168" s="0">
        <v>1</v>
      </c>
      <c r="H168" s="0">
        <v>54</v>
      </c>
      <c r="I168" s="0" t="s">
        <v>39</v>
      </c>
      <c r="J168" s="0" t="s">
        <v>36</v>
      </c>
    </row>
    <row r="169">
      <c r="A169" s="0">
        <v>2021</v>
      </c>
      <c r="B169" s="0" t="s">
        <v>181</v>
      </c>
      <c r="C169" s="0">
        <v>55</v>
      </c>
      <c r="D169" s="0" t="s">
        <v>182</v>
      </c>
      <c r="E169" s="0" t="s">
        <v>186</v>
      </c>
      <c r="F169" s="0" t="s">
        <v>194</v>
      </c>
      <c r="G169" s="0">
        <v>6</v>
      </c>
      <c r="H169" s="0">
        <v>330</v>
      </c>
      <c r="I169" s="0" t="s">
        <v>39</v>
      </c>
      <c r="J169" s="0" t="s">
        <v>36</v>
      </c>
    </row>
    <row r="170">
      <c r="A170" s="0">
        <v>2021</v>
      </c>
      <c r="B170" s="0" t="s">
        <v>181</v>
      </c>
      <c r="C170" s="0">
        <v>55</v>
      </c>
      <c r="D170" s="0" t="s">
        <v>185</v>
      </c>
      <c r="E170" s="0" t="s">
        <v>186</v>
      </c>
      <c r="F170" s="0" t="s">
        <v>194</v>
      </c>
      <c r="G170" s="0">
        <v>8</v>
      </c>
      <c r="H170" s="0">
        <v>440</v>
      </c>
      <c r="I170" s="0" t="s">
        <v>39</v>
      </c>
      <c r="J170" s="0" t="s">
        <v>36</v>
      </c>
    </row>
    <row r="171">
      <c r="A171" s="0">
        <v>2021</v>
      </c>
      <c r="B171" s="0" t="s">
        <v>181</v>
      </c>
      <c r="C171" s="0">
        <v>56</v>
      </c>
      <c r="D171" s="0" t="s">
        <v>182</v>
      </c>
      <c r="E171" s="0" t="s">
        <v>186</v>
      </c>
      <c r="F171" s="0" t="s">
        <v>194</v>
      </c>
      <c r="G171" s="0">
        <v>5</v>
      </c>
      <c r="H171" s="0">
        <v>280</v>
      </c>
      <c r="I171" s="0" t="s">
        <v>39</v>
      </c>
      <c r="J171" s="0" t="s">
        <v>36</v>
      </c>
    </row>
    <row r="172">
      <c r="A172" s="0">
        <v>2021</v>
      </c>
      <c r="B172" s="0" t="s">
        <v>181</v>
      </c>
      <c r="C172" s="0">
        <v>56</v>
      </c>
      <c r="D172" s="0" t="s">
        <v>185</v>
      </c>
      <c r="E172" s="0" t="s">
        <v>186</v>
      </c>
      <c r="F172" s="0" t="s">
        <v>194</v>
      </c>
      <c r="G172" s="0">
        <v>3</v>
      </c>
      <c r="H172" s="0">
        <v>168</v>
      </c>
      <c r="I172" s="0" t="s">
        <v>39</v>
      </c>
      <c r="J172" s="0" t="s">
        <v>36</v>
      </c>
    </row>
    <row r="173">
      <c r="A173" s="0">
        <v>2021</v>
      </c>
      <c r="B173" s="0" t="s">
        <v>181</v>
      </c>
      <c r="C173" s="0">
        <v>57</v>
      </c>
      <c r="D173" s="0" t="s">
        <v>182</v>
      </c>
      <c r="E173" s="0" t="s">
        <v>186</v>
      </c>
      <c r="F173" s="0" t="s">
        <v>194</v>
      </c>
      <c r="G173" s="0">
        <v>2</v>
      </c>
      <c r="H173" s="0">
        <v>114</v>
      </c>
      <c r="I173" s="0" t="s">
        <v>39</v>
      </c>
      <c r="J173" s="0" t="s">
        <v>36</v>
      </c>
    </row>
    <row r="174">
      <c r="A174" s="0">
        <v>2021</v>
      </c>
      <c r="B174" s="0" t="s">
        <v>181</v>
      </c>
      <c r="C174" s="0">
        <v>57</v>
      </c>
      <c r="D174" s="0" t="s">
        <v>185</v>
      </c>
      <c r="E174" s="0" t="s">
        <v>186</v>
      </c>
      <c r="F174" s="0" t="s">
        <v>194</v>
      </c>
      <c r="G174" s="0">
        <v>6</v>
      </c>
      <c r="H174" s="0">
        <v>342</v>
      </c>
      <c r="I174" s="0" t="s">
        <v>39</v>
      </c>
      <c r="J174" s="0" t="s">
        <v>36</v>
      </c>
    </row>
    <row r="175">
      <c r="A175" s="0">
        <v>2021</v>
      </c>
      <c r="B175" s="0" t="s">
        <v>181</v>
      </c>
      <c r="C175" s="0">
        <v>58</v>
      </c>
      <c r="D175" s="0" t="s">
        <v>182</v>
      </c>
      <c r="E175" s="0" t="s">
        <v>186</v>
      </c>
      <c r="F175" s="0" t="s">
        <v>194</v>
      </c>
      <c r="G175" s="0">
        <v>1</v>
      </c>
      <c r="H175" s="0">
        <v>58</v>
      </c>
      <c r="I175" s="0" t="s">
        <v>39</v>
      </c>
      <c r="J175" s="0" t="s">
        <v>36</v>
      </c>
    </row>
    <row r="176">
      <c r="A176" s="0">
        <v>2021</v>
      </c>
      <c r="B176" s="0" t="s">
        <v>181</v>
      </c>
      <c r="C176" s="0">
        <v>58</v>
      </c>
      <c r="D176" s="0" t="s">
        <v>185</v>
      </c>
      <c r="E176" s="0" t="s">
        <v>186</v>
      </c>
      <c r="F176" s="0" t="s">
        <v>194</v>
      </c>
      <c r="G176" s="0">
        <v>3</v>
      </c>
      <c r="H176" s="0">
        <v>174</v>
      </c>
      <c r="I176" s="0" t="s">
        <v>39</v>
      </c>
      <c r="J176" s="0" t="s">
        <v>36</v>
      </c>
    </row>
    <row r="177">
      <c r="A177" s="0">
        <v>2021</v>
      </c>
      <c r="B177" s="0" t="s">
        <v>181</v>
      </c>
      <c r="C177" s="0">
        <v>59</v>
      </c>
      <c r="D177" s="0" t="s">
        <v>182</v>
      </c>
      <c r="E177" s="0" t="s">
        <v>186</v>
      </c>
      <c r="F177" s="0" t="s">
        <v>194</v>
      </c>
      <c r="G177" s="0">
        <v>2</v>
      </c>
      <c r="H177" s="0">
        <v>118</v>
      </c>
      <c r="I177" s="0" t="s">
        <v>39</v>
      </c>
      <c r="J177" s="0" t="s">
        <v>36</v>
      </c>
    </row>
    <row r="178">
      <c r="A178" s="0">
        <v>2021</v>
      </c>
      <c r="B178" s="0" t="s">
        <v>181</v>
      </c>
      <c r="C178" s="0">
        <v>59</v>
      </c>
      <c r="D178" s="0" t="s">
        <v>185</v>
      </c>
      <c r="E178" s="0" t="s">
        <v>186</v>
      </c>
      <c r="F178" s="0" t="s">
        <v>194</v>
      </c>
      <c r="G178" s="0">
        <v>4</v>
      </c>
      <c r="H178" s="0">
        <v>236</v>
      </c>
      <c r="I178" s="0" t="s">
        <v>39</v>
      </c>
      <c r="J178" s="0" t="s">
        <v>36</v>
      </c>
    </row>
    <row r="179">
      <c r="A179" s="0">
        <v>2021</v>
      </c>
      <c r="B179" s="0" t="s">
        <v>181</v>
      </c>
      <c r="C179" s="0">
        <v>60</v>
      </c>
      <c r="D179" s="0" t="s">
        <v>182</v>
      </c>
      <c r="E179" s="0" t="s">
        <v>186</v>
      </c>
      <c r="F179" s="0" t="s">
        <v>195</v>
      </c>
      <c r="G179" s="0">
        <v>2</v>
      </c>
      <c r="H179" s="0">
        <v>120</v>
      </c>
      <c r="I179" s="0" t="s">
        <v>39</v>
      </c>
      <c r="J179" s="0" t="s">
        <v>36</v>
      </c>
    </row>
    <row r="180">
      <c r="A180" s="0">
        <v>2021</v>
      </c>
      <c r="B180" s="0" t="s">
        <v>181</v>
      </c>
      <c r="C180" s="0">
        <v>60</v>
      </c>
      <c r="D180" s="0" t="s">
        <v>185</v>
      </c>
      <c r="E180" s="0" t="s">
        <v>186</v>
      </c>
      <c r="F180" s="0" t="s">
        <v>195</v>
      </c>
      <c r="G180" s="0">
        <v>5</v>
      </c>
      <c r="H180" s="0">
        <v>300</v>
      </c>
      <c r="I180" s="0" t="s">
        <v>39</v>
      </c>
      <c r="J180" s="0" t="s">
        <v>36</v>
      </c>
    </row>
    <row r="181">
      <c r="A181" s="0">
        <v>2021</v>
      </c>
      <c r="B181" s="0" t="s">
        <v>181</v>
      </c>
      <c r="C181" s="0">
        <v>61</v>
      </c>
      <c r="D181" s="0" t="s">
        <v>182</v>
      </c>
      <c r="E181" s="0" t="s">
        <v>186</v>
      </c>
      <c r="F181" s="0" t="s">
        <v>195</v>
      </c>
      <c r="G181" s="0">
        <v>1</v>
      </c>
      <c r="H181" s="0">
        <v>61</v>
      </c>
      <c r="I181" s="0" t="s">
        <v>39</v>
      </c>
      <c r="J181" s="0" t="s">
        <v>36</v>
      </c>
    </row>
    <row r="182">
      <c r="A182" s="0">
        <v>2021</v>
      </c>
      <c r="B182" s="0" t="s">
        <v>181</v>
      </c>
      <c r="C182" s="0">
        <v>61</v>
      </c>
      <c r="D182" s="0" t="s">
        <v>185</v>
      </c>
      <c r="E182" s="0" t="s">
        <v>186</v>
      </c>
      <c r="F182" s="0" t="s">
        <v>195</v>
      </c>
      <c r="G182" s="0">
        <v>4</v>
      </c>
      <c r="H182" s="0">
        <v>244</v>
      </c>
      <c r="I182" s="0" t="s">
        <v>39</v>
      </c>
      <c r="J182" s="0" t="s">
        <v>36</v>
      </c>
    </row>
    <row r="183">
      <c r="A183" s="0">
        <v>2021</v>
      </c>
      <c r="B183" s="0" t="s">
        <v>181</v>
      </c>
      <c r="C183" s="0">
        <v>62</v>
      </c>
      <c r="D183" s="0" t="s">
        <v>182</v>
      </c>
      <c r="E183" s="0" t="s">
        <v>186</v>
      </c>
      <c r="F183" s="0" t="s">
        <v>195</v>
      </c>
      <c r="G183" s="0">
        <v>1</v>
      </c>
      <c r="H183" s="0">
        <v>62</v>
      </c>
      <c r="I183" s="0" t="s">
        <v>39</v>
      </c>
      <c r="J183" s="0" t="s">
        <v>36</v>
      </c>
    </row>
    <row r="184">
      <c r="A184" s="0">
        <v>2021</v>
      </c>
      <c r="B184" s="0" t="s">
        <v>181</v>
      </c>
      <c r="C184" s="0">
        <v>62</v>
      </c>
      <c r="D184" s="0" t="s">
        <v>185</v>
      </c>
      <c r="E184" s="0" t="s">
        <v>186</v>
      </c>
      <c r="F184" s="0" t="s">
        <v>195</v>
      </c>
      <c r="G184" s="0">
        <v>4</v>
      </c>
      <c r="H184" s="0">
        <v>248</v>
      </c>
      <c r="I184" s="0" t="s">
        <v>39</v>
      </c>
      <c r="J184" s="0" t="s">
        <v>36</v>
      </c>
    </row>
    <row r="185">
      <c r="A185" s="0">
        <v>2021</v>
      </c>
      <c r="B185" s="0" t="s">
        <v>181</v>
      </c>
      <c r="C185" s="0">
        <v>63</v>
      </c>
      <c r="D185" s="0" t="s">
        <v>182</v>
      </c>
      <c r="E185" s="0" t="s">
        <v>186</v>
      </c>
      <c r="F185" s="0" t="s">
        <v>195</v>
      </c>
      <c r="G185" s="0">
        <v>1</v>
      </c>
      <c r="H185" s="0">
        <v>63</v>
      </c>
      <c r="I185" s="0" t="s">
        <v>39</v>
      </c>
      <c r="J185" s="0" t="s">
        <v>36</v>
      </c>
    </row>
    <row r="186">
      <c r="A186" s="0">
        <v>2021</v>
      </c>
      <c r="B186" s="0" t="s">
        <v>181</v>
      </c>
      <c r="C186" s="0">
        <v>63</v>
      </c>
      <c r="D186" s="0" t="s">
        <v>185</v>
      </c>
      <c r="E186" s="0" t="s">
        <v>186</v>
      </c>
      <c r="F186" s="0" t="s">
        <v>195</v>
      </c>
      <c r="G186" s="0">
        <v>1</v>
      </c>
      <c r="H186" s="0">
        <v>63</v>
      </c>
      <c r="I186" s="0" t="s">
        <v>39</v>
      </c>
      <c r="J186" s="0" t="s">
        <v>36</v>
      </c>
    </row>
    <row r="187">
      <c r="A187" s="0">
        <v>2021</v>
      </c>
      <c r="B187" s="0" t="s">
        <v>181</v>
      </c>
      <c r="C187" s="0">
        <v>64</v>
      </c>
      <c r="D187" s="0" t="s">
        <v>182</v>
      </c>
      <c r="E187" s="0" t="s">
        <v>186</v>
      </c>
      <c r="F187" s="0" t="s">
        <v>195</v>
      </c>
      <c r="G187" s="0">
        <v>2</v>
      </c>
      <c r="H187" s="0">
        <v>128</v>
      </c>
      <c r="I187" s="0" t="s">
        <v>39</v>
      </c>
      <c r="J187" s="0" t="s">
        <v>36</v>
      </c>
    </row>
    <row r="188">
      <c r="A188" s="0">
        <v>2021</v>
      </c>
      <c r="B188" s="0" t="s">
        <v>181</v>
      </c>
      <c r="C188" s="0">
        <v>64</v>
      </c>
      <c r="D188" s="0" t="s">
        <v>185</v>
      </c>
      <c r="E188" s="0" t="s">
        <v>186</v>
      </c>
      <c r="F188" s="0" t="s">
        <v>195</v>
      </c>
      <c r="G188" s="0">
        <v>5</v>
      </c>
      <c r="H188" s="0">
        <v>320</v>
      </c>
      <c r="I188" s="0" t="s">
        <v>39</v>
      </c>
      <c r="J188" s="0" t="s">
        <v>36</v>
      </c>
    </row>
    <row r="189">
      <c r="A189" s="0">
        <v>2021</v>
      </c>
      <c r="B189" s="0" t="s">
        <v>181</v>
      </c>
      <c r="C189" s="0">
        <v>65</v>
      </c>
      <c r="D189" s="0" t="s">
        <v>185</v>
      </c>
      <c r="E189" s="0" t="s">
        <v>186</v>
      </c>
      <c r="F189" s="0" t="s">
        <v>195</v>
      </c>
      <c r="G189" s="0">
        <v>2</v>
      </c>
      <c r="H189" s="0">
        <v>130</v>
      </c>
      <c r="I189" s="0" t="s">
        <v>39</v>
      </c>
      <c r="J189" s="0" t="s">
        <v>36</v>
      </c>
    </row>
    <row r="190">
      <c r="A190" s="0">
        <v>2021</v>
      </c>
      <c r="B190" s="0" t="s">
        <v>181</v>
      </c>
      <c r="C190" s="0">
        <v>67</v>
      </c>
      <c r="D190" s="0" t="s">
        <v>185</v>
      </c>
      <c r="E190" s="0" t="s">
        <v>186</v>
      </c>
      <c r="F190" s="0" t="s">
        <v>195</v>
      </c>
      <c r="G190" s="0">
        <v>1</v>
      </c>
      <c r="H190" s="0">
        <v>67</v>
      </c>
      <c r="I190" s="0" t="s">
        <v>39</v>
      </c>
      <c r="J190" s="0" t="s">
        <v>36</v>
      </c>
    </row>
    <row r="191">
      <c r="A191" s="0">
        <v>2021</v>
      </c>
      <c r="B191" s="0" t="s">
        <v>181</v>
      </c>
      <c r="C191" s="0">
        <v>68</v>
      </c>
      <c r="D191" s="0" t="s">
        <v>185</v>
      </c>
      <c r="E191" s="0" t="s">
        <v>186</v>
      </c>
      <c r="F191" s="0" t="s">
        <v>195</v>
      </c>
      <c r="G191" s="0">
        <v>1</v>
      </c>
      <c r="H191" s="0">
        <v>68</v>
      </c>
      <c r="I191" s="0" t="s">
        <v>39</v>
      </c>
      <c r="J191" s="0" t="s">
        <v>36</v>
      </c>
    </row>
    <row r="192">
      <c r="A192" s="0">
        <v>2021</v>
      </c>
      <c r="B192" s="0" t="s">
        <v>181</v>
      </c>
      <c r="C192" s="0">
        <v>75</v>
      </c>
      <c r="D192" s="0" t="s">
        <v>182</v>
      </c>
      <c r="E192" s="0" t="s">
        <v>188</v>
      </c>
      <c r="F192" s="0" t="s">
        <v>195</v>
      </c>
      <c r="G192" s="0">
        <v>2</v>
      </c>
      <c r="H192" s="0">
        <v>150</v>
      </c>
      <c r="I192" s="0" t="s">
        <v>39</v>
      </c>
      <c r="J192" s="0" t="s">
        <v>36</v>
      </c>
    </row>
  </sheetData>
  <sortState ref="A2:J67">
    <sortCondition ref="B1:B1048576"/>
  </sortState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5"/>
  <sheetViews>
    <sheetView workbookViewId="0">
      <selection sqref="A1:B1048576"/>
    </sheetView>
  </sheetViews>
  <sheetFormatPr defaultColWidth="11.42578125" defaultRowHeight="15"/>
  <cols>
    <col min="1" max="2" width="11.42578125" customWidth="1" style="161"/>
    <col min="3" max="3" bestFit="1" width="16.140625" customWidth="1"/>
    <col min="4" max="4" bestFit="1" width="37.7109375" customWidth="1"/>
    <col min="5" max="5" width="11.42578125" customWidth="1"/>
    <col min="6" max="6" bestFit="1" width="18" customWidth="1"/>
    <col min="7" max="7" bestFit="1" width="16.42578125" customWidth="1"/>
    <col min="8" max="8" bestFit="1" width="18.140625" customWidth="1"/>
    <col min="9" max="11" width="11.42578125" customWidth="1"/>
  </cols>
  <sheetData>
    <row r="1">
      <c r="A1" s="161" t="s">
        <v>167</v>
      </c>
      <c r="B1" s="161" t="s">
        <v>168</v>
      </c>
      <c r="C1" s="0" t="s">
        <v>140</v>
      </c>
      <c r="D1" s="0" t="s">
        <v>141</v>
      </c>
      <c r="E1" s="0" t="s">
        <v>169</v>
      </c>
      <c r="F1" s="0" t="s">
        <v>170</v>
      </c>
      <c r="G1" s="0" t="s">
        <v>146</v>
      </c>
      <c r="H1" s="0" t="s">
        <v>171</v>
      </c>
    </row>
    <row r="2">
      <c r="A2" s="161">
        <v>44197</v>
      </c>
      <c r="B2" s="161">
        <v>44561</v>
      </c>
      <c r="C2" s="0" t="s">
        <v>172</v>
      </c>
      <c r="D2" s="0" t="s">
        <v>39</v>
      </c>
      <c r="E2" s="0">
        <v>2021</v>
      </c>
      <c r="F2" s="0">
        <v>261717.72</v>
      </c>
      <c r="H2" s="0">
        <v>364186.32</v>
      </c>
    </row>
    <row r="3">
      <c r="A3" s="161">
        <v>43831</v>
      </c>
      <c r="B3" s="161">
        <v>44196</v>
      </c>
      <c r="C3" s="0" t="s">
        <v>172</v>
      </c>
      <c r="D3" s="0" t="s">
        <v>39</v>
      </c>
      <c r="E3" s="0">
        <v>2020</v>
      </c>
      <c r="F3" s="0">
        <v>273073.96</v>
      </c>
      <c r="H3" s="0">
        <v>379988.79</v>
      </c>
    </row>
    <row r="4">
      <c r="A4" s="161">
        <v>43831</v>
      </c>
      <c r="B4" s="161">
        <v>44196</v>
      </c>
      <c r="C4" s="0" t="s">
        <v>172</v>
      </c>
      <c r="D4" s="0" t="s">
        <v>39</v>
      </c>
      <c r="E4" s="0">
        <v>2020</v>
      </c>
      <c r="F4" s="0">
        <v>27912.31</v>
      </c>
      <c r="H4" s="0">
        <v>38840.63</v>
      </c>
    </row>
    <row r="5">
      <c r="A5" s="161">
        <v>44197</v>
      </c>
      <c r="B5" s="161">
        <v>44561</v>
      </c>
      <c r="C5" s="0" t="s">
        <v>172</v>
      </c>
      <c r="D5" s="0" t="s">
        <v>39</v>
      </c>
      <c r="E5" s="0">
        <v>2021</v>
      </c>
      <c r="F5" s="0">
        <v>8047.86</v>
      </c>
      <c r="H5" s="0">
        <v>11198.79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1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defaultColWidth="11.42578125" defaultRowHeight="15"/>
  <cols>
    <col min="1" max="1" bestFit="1" width="10.85546875" customWidth="1" style="161"/>
    <col min="2" max="2" bestFit="1" width="17.5703125" customWidth="1"/>
    <col min="3" max="3" bestFit="1" width="18.5703125" customWidth="1"/>
    <col min="4" max="4" bestFit="1" width="11.5703125" customWidth="1"/>
    <col min="5" max="6" bestFit="1" width="31.85546875" customWidth="1"/>
    <col min="7" max="7" bestFit="1" width="17.7109375" customWidth="1"/>
    <col min="8" max="8" bestFit="1" width="10.140625" customWidth="1"/>
    <col min="9" max="9" bestFit="1" width="11.28515625" customWidth="1"/>
    <col min="10" max="10" bestFit="1" width="9.7109375" customWidth="1"/>
    <col min="11" max="11" bestFit="1" width="13.28515625" customWidth="1"/>
    <col min="12" max="12" bestFit="1" width="11.28515625" customWidth="1"/>
    <col min="13" max="13" bestFit="1" width="7.85546875" customWidth="1"/>
    <col min="14" max="14" bestFit="1" width="7" customWidth="1"/>
    <col min="15" max="15" bestFit="1" width="7.7109375" customWidth="1"/>
    <col min="16" max="16" bestFit="1" width="9.85546875" customWidth="1"/>
    <col min="17" max="17" bestFit="1" width="10.28515625" customWidth="1"/>
    <col min="18" max="18" bestFit="1" width="21.5703125" customWidth="1"/>
    <col min="19" max="22" width="11.42578125" customWidth="1"/>
    <col min="23" max="23" bestFit="1" width="33.42578125" customWidth="1"/>
    <col min="24" max="30" width="11.42578125" customWidth="1"/>
  </cols>
  <sheetData>
    <row r="1">
      <c r="A1" s="161" t="s">
        <v>139</v>
      </c>
      <c r="B1" s="0" t="s">
        <v>140</v>
      </c>
      <c r="C1" s="0" t="s">
        <v>141</v>
      </c>
      <c r="D1" s="0" t="s">
        <v>142</v>
      </c>
      <c r="E1" s="0" t="s">
        <v>143</v>
      </c>
      <c r="F1" s="0" t="s">
        <v>144</v>
      </c>
      <c r="G1" s="0" t="s">
        <v>147</v>
      </c>
      <c r="H1" s="0" t="s">
        <v>148</v>
      </c>
      <c r="I1" s="0" t="s">
        <v>149</v>
      </c>
      <c r="J1" s="0" t="s">
        <v>150</v>
      </c>
      <c r="K1" s="0" t="s">
        <v>151</v>
      </c>
      <c r="L1" s="0" t="s">
        <v>152</v>
      </c>
      <c r="M1" s="0" t="s">
        <v>153</v>
      </c>
      <c r="N1" s="0" t="s">
        <v>154</v>
      </c>
      <c r="O1" s="0" t="s">
        <v>155</v>
      </c>
      <c r="P1" s="0" t="s">
        <v>156</v>
      </c>
      <c r="Q1" s="0" t="s">
        <v>157</v>
      </c>
      <c r="R1" s="0" t="s">
        <v>146</v>
      </c>
    </row>
  </sheetData>
  <sortState ref="A2:R23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1"/>
  <sheetViews>
    <sheetView zoomScale="70" zoomScaleNormal="70" workbookViewId="0">
      <pane ySplit="1" topLeftCell="A2" activePane="bottomLeft" state="frozen"/>
      <selection pane="bottomLeft" sqref="A1:A1048576"/>
    </sheetView>
  </sheetViews>
  <sheetFormatPr defaultColWidth="11.42578125" defaultRowHeight="15"/>
  <cols>
    <col min="1" max="1" bestFit="1" width="12.42578125" customWidth="1" style="161"/>
    <col min="2" max="2" bestFit="1" width="20.1406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21.140625" customWidth="1"/>
    <col min="8" max="8" bestFit="1" width="12.140625" customWidth="1"/>
    <col min="9" max="10" bestFit="1" width="15.85546875" customWidth="1"/>
    <col min="11" max="11" bestFit="1" width="15.28515625" customWidth="1"/>
    <col min="12" max="12" bestFit="1" width="15.85546875" customWidth="1"/>
    <col min="13" max="13" bestFit="1" width="9.5703125" customWidth="1"/>
    <col min="14" max="14" bestFit="1" width="13.5703125" customWidth="1"/>
    <col min="15" max="15" bestFit="1" width="10" customWidth="1"/>
    <col min="16" max="16" bestFit="1" width="14.85546875" customWidth="1"/>
    <col min="17" max="17" bestFit="1" width="11.7109375" customWidth="1"/>
    <col min="18" max="18" bestFit="1" width="10" customWidth="1"/>
    <col min="19" max="19" bestFit="1" width="14.85546875" customWidth="1"/>
    <col min="20" max="20" bestFit="1" width="11.7109375" customWidth="1"/>
    <col min="21" max="22" width="11.42578125" customWidth="1"/>
    <col min="23" max="23" bestFit="1" width="33.42578125" customWidth="1"/>
    <col min="24" max="30" width="11.42578125" customWidth="1"/>
  </cols>
  <sheetData>
    <row r="1">
      <c r="A1" s="161" t="s">
        <v>139</v>
      </c>
      <c r="B1" s="0" t="s">
        <v>140</v>
      </c>
      <c r="C1" s="0" t="s">
        <v>141</v>
      </c>
      <c r="D1" s="0" t="s">
        <v>142</v>
      </c>
      <c r="E1" s="0" t="s">
        <v>143</v>
      </c>
      <c r="F1" s="0" t="s">
        <v>144</v>
      </c>
      <c r="G1" s="0" t="s">
        <v>147</v>
      </c>
      <c r="H1" s="0" t="s">
        <v>148</v>
      </c>
      <c r="I1" s="0" t="s">
        <v>149</v>
      </c>
      <c r="J1" s="0" t="s">
        <v>150</v>
      </c>
      <c r="K1" s="0" t="s">
        <v>151</v>
      </c>
      <c r="L1" s="0" t="s">
        <v>152</v>
      </c>
      <c r="M1" s="0" t="s">
        <v>153</v>
      </c>
      <c r="N1" s="0" t="s">
        <v>154</v>
      </c>
      <c r="O1" s="0" t="s">
        <v>155</v>
      </c>
      <c r="P1" s="0" t="s">
        <v>156</v>
      </c>
      <c r="Q1" s="0" t="s">
        <v>157</v>
      </c>
    </row>
    <row r="2">
      <c r="A2" s="161">
        <v>44742</v>
      </c>
      <c r="B2" s="0" t="s">
        <v>158</v>
      </c>
      <c r="C2" s="0" t="s">
        <v>39</v>
      </c>
      <c r="D2" s="0">
        <v>2021</v>
      </c>
      <c r="E2" s="0" t="s">
        <v>159</v>
      </c>
      <c r="F2" s="0" t="s">
        <v>67</v>
      </c>
      <c r="G2" s="0" t="s">
        <v>160</v>
      </c>
      <c r="H2" s="0">
        <v>1</v>
      </c>
      <c r="I2" s="0">
        <v>355</v>
      </c>
      <c r="J2" s="0">
        <v>96.75</v>
      </c>
      <c r="K2" s="0">
        <v>120.94</v>
      </c>
      <c r="L2" s="0">
        <v>72.56</v>
      </c>
      <c r="M2" s="0" t="s">
        <v>161</v>
      </c>
      <c r="N2" s="0">
        <v>355</v>
      </c>
      <c r="O2" s="0">
        <v>355</v>
      </c>
      <c r="P2" s="0">
        <v>72.56</v>
      </c>
      <c r="Q2" s="0">
        <v>72.56</v>
      </c>
    </row>
    <row r="3">
      <c r="A3" s="161">
        <v>44742</v>
      </c>
      <c r="B3" s="0" t="s">
        <v>162</v>
      </c>
      <c r="C3" s="0" t="s">
        <v>39</v>
      </c>
      <c r="D3" s="0">
        <v>2021</v>
      </c>
      <c r="E3" s="0" t="s">
        <v>159</v>
      </c>
      <c r="F3" s="0" t="s">
        <v>67</v>
      </c>
      <c r="G3" s="0" t="s">
        <v>160</v>
      </c>
      <c r="H3" s="0">
        <v>1</v>
      </c>
      <c r="I3" s="0">
        <v>355</v>
      </c>
      <c r="J3" s="0">
        <v>96.75</v>
      </c>
      <c r="K3" s="0">
        <v>120.94</v>
      </c>
      <c r="L3" s="0">
        <v>72.56</v>
      </c>
      <c r="M3" s="0" t="s">
        <v>161</v>
      </c>
      <c r="N3" s="0">
        <v>355</v>
      </c>
      <c r="O3" s="0">
        <v>355</v>
      </c>
      <c r="P3" s="0">
        <v>72.56</v>
      </c>
      <c r="Q3" s="0">
        <v>72.56</v>
      </c>
    </row>
    <row r="4">
      <c r="A4" s="161">
        <v>44742</v>
      </c>
      <c r="B4" s="0" t="s">
        <v>158</v>
      </c>
      <c r="C4" s="0" t="s">
        <v>39</v>
      </c>
      <c r="D4" s="0">
        <v>2021</v>
      </c>
      <c r="E4" s="0" t="s">
        <v>163</v>
      </c>
      <c r="F4" s="0" t="s">
        <v>116</v>
      </c>
      <c r="G4" s="0" t="s">
        <v>160</v>
      </c>
      <c r="H4" s="0">
        <v>1</v>
      </c>
      <c r="I4" s="0">
        <v>690</v>
      </c>
      <c r="J4" s="0">
        <v>0.06</v>
      </c>
      <c r="K4" s="0">
        <v>115.93</v>
      </c>
      <c r="L4" s="0">
        <v>298.24</v>
      </c>
      <c r="M4" s="0" t="s">
        <v>161</v>
      </c>
      <c r="N4" s="0">
        <v>690</v>
      </c>
      <c r="O4" s="0">
        <v>690</v>
      </c>
      <c r="P4" s="0">
        <v>298.24</v>
      </c>
      <c r="Q4" s="0">
        <v>298.24</v>
      </c>
    </row>
    <row r="5">
      <c r="A5" s="161">
        <v>44742</v>
      </c>
      <c r="B5" s="0" t="s">
        <v>162</v>
      </c>
      <c r="C5" s="0" t="s">
        <v>39</v>
      </c>
      <c r="D5" s="0">
        <v>2021</v>
      </c>
      <c r="E5" s="0" t="s">
        <v>163</v>
      </c>
      <c r="F5" s="0" t="s">
        <v>116</v>
      </c>
      <c r="G5" s="0" t="s">
        <v>160</v>
      </c>
      <c r="H5" s="0">
        <v>1</v>
      </c>
      <c r="I5" s="0">
        <v>690</v>
      </c>
      <c r="J5" s="0">
        <v>0.06</v>
      </c>
      <c r="K5" s="0">
        <v>115.93</v>
      </c>
      <c r="L5" s="0">
        <v>298.24</v>
      </c>
      <c r="M5" s="0" t="s">
        <v>161</v>
      </c>
      <c r="N5" s="0">
        <v>690</v>
      </c>
      <c r="O5" s="0">
        <v>690</v>
      </c>
      <c r="P5" s="0">
        <v>298.24</v>
      </c>
      <c r="Q5" s="0">
        <v>298.24</v>
      </c>
    </row>
    <row r="6">
      <c r="A6" s="161">
        <v>44742</v>
      </c>
      <c r="B6" s="0" t="s">
        <v>158</v>
      </c>
      <c r="C6" s="0" t="s">
        <v>39</v>
      </c>
      <c r="D6" s="0">
        <v>2021</v>
      </c>
      <c r="E6" s="0" t="s">
        <v>135</v>
      </c>
      <c r="F6" s="0" t="s">
        <v>131</v>
      </c>
      <c r="G6" s="0" t="s">
        <v>160</v>
      </c>
      <c r="H6" s="0">
        <v>4</v>
      </c>
      <c r="I6" s="0">
        <v>12.16</v>
      </c>
      <c r="J6" s="0">
        <v>7.3</v>
      </c>
      <c r="K6" s="0">
        <v>0</v>
      </c>
      <c r="L6" s="0">
        <v>4.8599999999999994</v>
      </c>
      <c r="M6" s="0" t="s">
        <v>161</v>
      </c>
      <c r="N6" s="0">
        <v>1.35</v>
      </c>
      <c r="O6" s="0">
        <v>4.73</v>
      </c>
      <c r="P6" s="0">
        <v>0.54</v>
      </c>
      <c r="Q6" s="0">
        <v>1.89</v>
      </c>
    </row>
    <row r="7">
      <c r="A7" s="161">
        <v>44742</v>
      </c>
      <c r="B7" s="0" t="s">
        <v>162</v>
      </c>
      <c r="C7" s="0" t="s">
        <v>39</v>
      </c>
      <c r="D7" s="0">
        <v>2021</v>
      </c>
      <c r="E7" s="0" t="s">
        <v>135</v>
      </c>
      <c r="F7" s="0" t="s">
        <v>131</v>
      </c>
      <c r="G7" s="0" t="s">
        <v>160</v>
      </c>
      <c r="H7" s="0">
        <v>4</v>
      </c>
      <c r="I7" s="0">
        <v>12.16</v>
      </c>
      <c r="J7" s="0">
        <v>7.3</v>
      </c>
      <c r="K7" s="0">
        <v>0</v>
      </c>
      <c r="L7" s="0">
        <v>4.8599999999999994</v>
      </c>
      <c r="M7" s="0" t="s">
        <v>161</v>
      </c>
      <c r="N7" s="0">
        <v>1.35</v>
      </c>
      <c r="O7" s="0">
        <v>4.73</v>
      </c>
      <c r="P7" s="0">
        <v>0.54</v>
      </c>
      <c r="Q7" s="0">
        <v>1.89</v>
      </c>
    </row>
    <row r="8">
      <c r="A8" s="161">
        <v>44742</v>
      </c>
      <c r="B8" s="0" t="s">
        <v>164</v>
      </c>
      <c r="C8" s="0" t="s">
        <v>39</v>
      </c>
      <c r="D8" s="0">
        <v>2021</v>
      </c>
      <c r="E8" s="0" t="s">
        <v>165</v>
      </c>
      <c r="F8" s="0" t="s">
        <v>131</v>
      </c>
      <c r="G8" s="0" t="s">
        <v>160</v>
      </c>
      <c r="H8" s="0">
        <v>7</v>
      </c>
      <c r="I8" s="0">
        <v>306.95</v>
      </c>
      <c r="J8" s="0">
        <v>69.53</v>
      </c>
      <c r="K8" s="0">
        <v>-134.16</v>
      </c>
      <c r="L8" s="0">
        <v>371.58000000000004</v>
      </c>
      <c r="M8" s="0" t="s">
        <v>161</v>
      </c>
      <c r="N8" s="0">
        <v>-25</v>
      </c>
      <c r="O8" s="0">
        <v>80</v>
      </c>
      <c r="P8" s="0">
        <v>-7.5</v>
      </c>
      <c r="Q8" s="0">
        <v>88.54</v>
      </c>
    </row>
    <row r="9">
      <c r="A9" s="161">
        <v>44742</v>
      </c>
      <c r="B9" s="0" t="s">
        <v>158</v>
      </c>
      <c r="C9" s="0" t="s">
        <v>39</v>
      </c>
      <c r="D9" s="0">
        <v>2021</v>
      </c>
      <c r="E9" s="0" t="s">
        <v>165</v>
      </c>
      <c r="F9" s="0" t="s">
        <v>131</v>
      </c>
      <c r="G9" s="0" t="s">
        <v>160</v>
      </c>
      <c r="H9" s="0">
        <v>15</v>
      </c>
      <c r="I9" s="0">
        <v>472.18</v>
      </c>
      <c r="J9" s="0">
        <v>268.42</v>
      </c>
      <c r="K9" s="0">
        <v>25.65</v>
      </c>
      <c r="L9" s="0">
        <v>124.11</v>
      </c>
      <c r="M9" s="0" t="s">
        <v>161</v>
      </c>
      <c r="N9" s="0">
        <v>-25</v>
      </c>
      <c r="O9" s="0">
        <v>80</v>
      </c>
      <c r="P9" s="0">
        <v>-7.5</v>
      </c>
      <c r="Q9" s="0">
        <v>88.54</v>
      </c>
    </row>
    <row r="10">
      <c r="A10" s="161">
        <v>44742</v>
      </c>
      <c r="B10" s="0" t="s">
        <v>166</v>
      </c>
      <c r="C10" s="0" t="s">
        <v>39</v>
      </c>
      <c r="D10" s="0">
        <v>2021</v>
      </c>
      <c r="E10" s="0" t="s">
        <v>165</v>
      </c>
      <c r="F10" s="0" t="s">
        <v>131</v>
      </c>
      <c r="G10" s="0" t="s">
        <v>160</v>
      </c>
      <c r="H10" s="0">
        <v>7</v>
      </c>
      <c r="I10" s="0">
        <v>306.95</v>
      </c>
      <c r="J10" s="0">
        <v>69.53</v>
      </c>
      <c r="K10" s="0">
        <v>-134.16</v>
      </c>
      <c r="L10" s="0">
        <v>371.58000000000004</v>
      </c>
      <c r="M10" s="0" t="s">
        <v>161</v>
      </c>
      <c r="N10" s="0">
        <v>-25</v>
      </c>
      <c r="O10" s="0">
        <v>80</v>
      </c>
      <c r="P10" s="0">
        <v>-7.5</v>
      </c>
      <c r="Q10" s="0">
        <v>88.54</v>
      </c>
    </row>
    <row r="11">
      <c r="A11" s="161">
        <v>44742</v>
      </c>
      <c r="B11" s="0" t="s">
        <v>162</v>
      </c>
      <c r="C11" s="0" t="s">
        <v>39</v>
      </c>
      <c r="D11" s="0">
        <v>2021</v>
      </c>
      <c r="E11" s="0" t="s">
        <v>165</v>
      </c>
      <c r="F11" s="0" t="s">
        <v>131</v>
      </c>
      <c r="G11" s="0" t="s">
        <v>160</v>
      </c>
      <c r="H11" s="0">
        <v>15</v>
      </c>
      <c r="I11" s="0">
        <v>472.18</v>
      </c>
      <c r="J11" s="0">
        <v>268.42</v>
      </c>
      <c r="K11" s="0">
        <v>25.65</v>
      </c>
      <c r="L11" s="0">
        <v>124.11</v>
      </c>
      <c r="M11" s="0" t="s">
        <v>161</v>
      </c>
      <c r="N11" s="0">
        <v>-25</v>
      </c>
      <c r="O11" s="0">
        <v>80</v>
      </c>
      <c r="P11" s="0">
        <v>-7.5</v>
      </c>
      <c r="Q11" s="0">
        <v>88.54</v>
      </c>
    </row>
  </sheetData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9" tint="0.79998168889431442"/>
  </sheetPr>
  <dimension ref="A1:H1"/>
  <sheetViews>
    <sheetView zoomScale="70" zoomScaleNormal="70" workbookViewId="0">
      <selection sqref="A1:A1048576"/>
    </sheetView>
  </sheetViews>
  <sheetFormatPr defaultColWidth="11.42578125" defaultRowHeight="15"/>
  <cols>
    <col min="1" max="1" bestFit="1" width="12.42578125" customWidth="1" style="161"/>
    <col min="2" max="2" bestFit="1" width="11.425781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12.5703125" customWidth="1"/>
    <col min="8" max="8" bestFit="1" width="20" customWidth="1"/>
    <col min="9" max="14" width="11.42578125" customWidth="1"/>
  </cols>
  <sheetData>
    <row r="1">
      <c r="A1" s="161" t="s">
        <v>139</v>
      </c>
      <c r="B1" s="0" t="s">
        <v>140</v>
      </c>
      <c r="C1" s="0" t="s">
        <v>141</v>
      </c>
      <c r="D1" s="0" t="s">
        <v>142</v>
      </c>
      <c r="E1" s="0" t="s">
        <v>143</v>
      </c>
      <c r="F1" s="0" t="s">
        <v>144</v>
      </c>
      <c r="G1" s="0" t="s">
        <v>145</v>
      </c>
      <c r="H1" s="0" t="s">
        <v>146</v>
      </c>
    </row>
  </sheetData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J75"/>
  <sheetViews>
    <sheetView workbookViewId="0">
      <selection activeCell="F26" sqref="F26"/>
    </sheetView>
  </sheetViews>
  <sheetFormatPr defaultColWidth="11.42578125" defaultRowHeight="15"/>
  <cols>
    <col min="1" max="1" bestFit="1" width="14.140625" customWidth="1"/>
    <col min="2" max="2" bestFit="1" width="11.7109375" customWidth="1"/>
    <col min="3" max="3" bestFit="1" width="41.140625" customWidth="1"/>
    <col min="4" max="10" width="12" customWidth="1"/>
    <col min="11" max="12" width="11.42578125" customWidth="1"/>
  </cols>
  <sheetData>
    <row r="1">
      <c r="A1" s="0" t="s">
        <v>44</v>
      </c>
      <c r="B1" s="0" t="s">
        <v>45</v>
      </c>
      <c r="C1" s="0" t="s">
        <v>46</v>
      </c>
      <c r="D1" s="145" t="s">
        <v>47</v>
      </c>
      <c r="E1" s="145" t="s">
        <v>48</v>
      </c>
      <c r="F1" s="145" t="s">
        <v>49</v>
      </c>
      <c r="G1" s="145" t="s">
        <v>50</v>
      </c>
      <c r="H1" s="145" t="s">
        <v>51</v>
      </c>
      <c r="I1" s="145" t="s">
        <v>52</v>
      </c>
      <c r="J1" s="145" t="s">
        <v>53</v>
      </c>
    </row>
    <row r="2">
      <c r="A2" s="143" t="s">
        <v>54</v>
      </c>
      <c r="B2" s="154" t="s">
        <v>55</v>
      </c>
      <c r="C2" s="154" t="s">
        <v>56</v>
      </c>
      <c r="D2" s="155">
        <v>0</v>
      </c>
      <c r="E2" s="155">
        <v>0</v>
      </c>
      <c r="F2" s="155">
        <v>0</v>
      </c>
      <c r="G2" s="155">
        <v>0</v>
      </c>
      <c r="H2" s="155">
        <v>0</v>
      </c>
      <c r="I2" s="155">
        <v>0</v>
      </c>
      <c r="J2" s="155">
        <v>0</v>
      </c>
    </row>
    <row r="3">
      <c r="A3" s="143" t="s">
        <v>54</v>
      </c>
      <c r="B3" s="154" t="s">
        <v>55</v>
      </c>
      <c r="C3" s="154" t="s">
        <v>57</v>
      </c>
      <c r="D3" s="155">
        <v>0</v>
      </c>
      <c r="E3" s="155">
        <v>0</v>
      </c>
      <c r="F3" s="155">
        <v>0</v>
      </c>
      <c r="G3" s="155">
        <v>0</v>
      </c>
      <c r="H3" s="155">
        <v>0</v>
      </c>
      <c r="I3" s="155">
        <v>0</v>
      </c>
      <c r="J3" s="155">
        <v>0</v>
      </c>
    </row>
    <row r="4">
      <c r="A4" s="143" t="s">
        <v>54</v>
      </c>
      <c r="B4" s="154" t="s">
        <v>55</v>
      </c>
      <c r="C4" s="154" t="s">
        <v>58</v>
      </c>
      <c r="D4" s="155">
        <v>0</v>
      </c>
      <c r="E4" s="155">
        <v>0</v>
      </c>
      <c r="F4" s="155">
        <v>0</v>
      </c>
      <c r="G4" s="155">
        <v>0</v>
      </c>
      <c r="H4" s="155">
        <v>0</v>
      </c>
      <c r="I4" s="155">
        <v>0</v>
      </c>
      <c r="J4" s="155">
        <v>0</v>
      </c>
    </row>
    <row r="5">
      <c r="A5" s="143" t="s">
        <v>54</v>
      </c>
      <c r="B5" s="154" t="s">
        <v>55</v>
      </c>
      <c r="C5" s="154" t="s">
        <v>59</v>
      </c>
      <c r="D5" s="155">
        <v>0</v>
      </c>
      <c r="E5" s="155">
        <v>0</v>
      </c>
      <c r="F5" s="155">
        <v>0</v>
      </c>
      <c r="G5" s="155">
        <v>0</v>
      </c>
      <c r="H5" s="155">
        <v>0</v>
      </c>
      <c r="I5" s="155">
        <v>0</v>
      </c>
      <c r="J5" s="155">
        <v>0</v>
      </c>
    </row>
    <row r="6">
      <c r="A6" s="143" t="s">
        <v>54</v>
      </c>
      <c r="B6" s="154" t="s">
        <v>55</v>
      </c>
      <c r="C6" s="154" t="s">
        <v>60</v>
      </c>
      <c r="D6" s="0">
        <v>0</v>
      </c>
      <c r="E6" s="0">
        <v>0</v>
      </c>
      <c r="F6" s="0">
        <v>0</v>
      </c>
      <c r="G6" s="0">
        <v>0</v>
      </c>
      <c r="H6" s="0">
        <v>0</v>
      </c>
      <c r="I6" s="0">
        <v>0</v>
      </c>
      <c r="J6" s="0">
        <v>0</v>
      </c>
    </row>
    <row r="7">
      <c r="A7" s="143" t="s">
        <v>54</v>
      </c>
      <c r="B7" s="154" t="s">
        <v>55</v>
      </c>
      <c r="C7" s="154" t="s">
        <v>61</v>
      </c>
      <c r="D7" s="0">
        <v>0</v>
      </c>
      <c r="E7" s="0">
        <v>0</v>
      </c>
      <c r="F7" s="0">
        <v>0</v>
      </c>
      <c r="G7" s="0">
        <v>0</v>
      </c>
      <c r="H7" s="0">
        <v>0</v>
      </c>
      <c r="I7" s="0">
        <v>0</v>
      </c>
      <c r="J7" s="0">
        <v>0</v>
      </c>
    </row>
    <row r="8">
      <c r="A8" s="143" t="s">
        <v>54</v>
      </c>
      <c r="B8" s="154" t="s">
        <v>55</v>
      </c>
      <c r="C8" s="154" t="s">
        <v>62</v>
      </c>
      <c r="D8" s="0">
        <v>0</v>
      </c>
      <c r="E8" s="0">
        <v>0</v>
      </c>
      <c r="F8" s="0">
        <v>0</v>
      </c>
      <c r="G8" s="0">
        <v>0</v>
      </c>
      <c r="H8" s="0">
        <v>0</v>
      </c>
      <c r="I8" s="0">
        <v>0</v>
      </c>
      <c r="J8" s="0">
        <v>0</v>
      </c>
    </row>
    <row r="9">
      <c r="A9" s="143" t="s">
        <v>54</v>
      </c>
      <c r="B9" s="154" t="s">
        <v>55</v>
      </c>
      <c r="C9" s="154" t="s">
        <v>63</v>
      </c>
      <c r="D9" s="0">
        <v>0</v>
      </c>
      <c r="E9" s="0">
        <v>0</v>
      </c>
      <c r="F9" s="0">
        <v>0</v>
      </c>
      <c r="G9" s="0">
        <v>0</v>
      </c>
      <c r="H9" s="0">
        <v>0</v>
      </c>
      <c r="I9" s="0">
        <v>0</v>
      </c>
      <c r="J9" s="0">
        <v>0</v>
      </c>
    </row>
    <row r="10">
      <c r="A10" s="143" t="s">
        <v>54</v>
      </c>
      <c r="B10" s="144" t="s">
        <v>64</v>
      </c>
      <c r="C10" s="144" t="s">
        <v>65</v>
      </c>
      <c r="D10" s="0">
        <v>0</v>
      </c>
      <c r="E10" s="0">
        <v>0</v>
      </c>
      <c r="F10" s="0">
        <v>0</v>
      </c>
      <c r="G10" s="0">
        <v>0</v>
      </c>
      <c r="H10" s="0">
        <v>0</v>
      </c>
      <c r="I10" s="0">
        <v>0</v>
      </c>
      <c r="J10" s="0">
        <v>0</v>
      </c>
    </row>
    <row r="11">
      <c r="A11" s="143" t="s">
        <v>54</v>
      </c>
      <c r="B11" s="144" t="s">
        <v>64</v>
      </c>
      <c r="C11" s="144" t="s">
        <v>66</v>
      </c>
      <c r="D11" s="0">
        <v>0</v>
      </c>
      <c r="E11" s="0">
        <v>0</v>
      </c>
      <c r="F11" s="0">
        <v>0</v>
      </c>
      <c r="G11" s="0">
        <v>0</v>
      </c>
      <c r="H11" s="0">
        <v>0</v>
      </c>
      <c r="I11" s="0">
        <v>0</v>
      </c>
      <c r="J11" s="0">
        <v>0</v>
      </c>
    </row>
    <row r="12">
      <c r="A12" s="143" t="s">
        <v>54</v>
      </c>
      <c r="B12" s="154" t="s">
        <v>67</v>
      </c>
      <c r="C12" s="154" t="s">
        <v>68</v>
      </c>
      <c r="D12" s="0">
        <v>0</v>
      </c>
      <c r="E12" s="0">
        <v>0</v>
      </c>
      <c r="F12" s="0">
        <v>0</v>
      </c>
      <c r="G12" s="0">
        <v>0</v>
      </c>
      <c r="H12" s="0">
        <v>0</v>
      </c>
      <c r="I12" s="0">
        <v>0</v>
      </c>
      <c r="J12" s="0">
        <v>0</v>
      </c>
    </row>
    <row r="13">
      <c r="A13" s="143" t="s">
        <v>54</v>
      </c>
      <c r="B13" s="154" t="s">
        <v>67</v>
      </c>
      <c r="C13" s="154" t="s">
        <v>69</v>
      </c>
      <c r="D13" s="0">
        <v>0</v>
      </c>
      <c r="E13" s="0">
        <v>0</v>
      </c>
      <c r="F13" s="0">
        <v>0</v>
      </c>
      <c r="G13" s="0">
        <v>0</v>
      </c>
      <c r="H13" s="0">
        <v>0</v>
      </c>
      <c r="I13" s="0">
        <v>0</v>
      </c>
      <c r="J13" s="0">
        <v>0</v>
      </c>
    </row>
    <row r="14">
      <c r="A14" s="143" t="s">
        <v>54</v>
      </c>
      <c r="B14" s="154" t="s">
        <v>67</v>
      </c>
      <c r="C14" s="154" t="s">
        <v>70</v>
      </c>
      <c r="D14" s="0">
        <v>0</v>
      </c>
      <c r="E14" s="0">
        <v>0</v>
      </c>
      <c r="F14" s="0">
        <v>0</v>
      </c>
      <c r="G14" s="0">
        <v>0</v>
      </c>
      <c r="H14" s="0">
        <v>0</v>
      </c>
      <c r="I14" s="0">
        <v>0</v>
      </c>
      <c r="J14" s="0">
        <v>0</v>
      </c>
    </row>
    <row r="15">
      <c r="A15" s="143" t="s">
        <v>54</v>
      </c>
      <c r="B15" s="154" t="s">
        <v>67</v>
      </c>
      <c r="C15" s="154" t="s">
        <v>71</v>
      </c>
      <c r="D15" s="0">
        <v>0</v>
      </c>
      <c r="E15" s="0">
        <v>0</v>
      </c>
      <c r="F15" s="0">
        <v>0</v>
      </c>
      <c r="G15" s="0">
        <v>0</v>
      </c>
      <c r="H15" s="0">
        <v>0</v>
      </c>
      <c r="I15" s="0">
        <v>0</v>
      </c>
      <c r="J15" s="0">
        <v>0</v>
      </c>
    </row>
    <row r="16">
      <c r="A16" s="143" t="s">
        <v>54</v>
      </c>
      <c r="B16" s="154" t="s">
        <v>67</v>
      </c>
      <c r="C16" s="154" t="s">
        <v>72</v>
      </c>
      <c r="D16" s="0">
        <v>0</v>
      </c>
      <c r="E16" s="0">
        <v>0</v>
      </c>
      <c r="F16" s="0">
        <v>0</v>
      </c>
      <c r="G16" s="0">
        <v>0</v>
      </c>
      <c r="H16" s="0">
        <v>0</v>
      </c>
      <c r="I16" s="0">
        <v>0</v>
      </c>
      <c r="J16" s="0">
        <v>0</v>
      </c>
    </row>
    <row r="17">
      <c r="A17" s="143" t="s">
        <v>54</v>
      </c>
      <c r="B17" s="154" t="s">
        <v>67</v>
      </c>
      <c r="C17" s="154" t="s">
        <v>73</v>
      </c>
      <c r="D17" s="0">
        <v>0</v>
      </c>
      <c r="E17" s="0">
        <v>0</v>
      </c>
      <c r="F17" s="0">
        <v>0</v>
      </c>
      <c r="G17" s="0">
        <v>0</v>
      </c>
      <c r="H17" s="0">
        <v>0</v>
      </c>
      <c r="I17" s="0">
        <v>0</v>
      </c>
      <c r="J17" s="0">
        <v>0</v>
      </c>
    </row>
    <row r="18">
      <c r="A18" s="143" t="s">
        <v>54</v>
      </c>
      <c r="B18" s="154" t="s">
        <v>67</v>
      </c>
      <c r="C18" s="154" t="s">
        <v>74</v>
      </c>
      <c r="D18" s="0">
        <v>0</v>
      </c>
      <c r="E18" s="0">
        <v>0</v>
      </c>
      <c r="F18" s="0">
        <v>0</v>
      </c>
      <c r="G18" s="0">
        <v>0</v>
      </c>
      <c r="H18" s="0">
        <v>0</v>
      </c>
      <c r="I18" s="0">
        <v>0</v>
      </c>
      <c r="J18" s="0">
        <v>0</v>
      </c>
    </row>
    <row r="19">
      <c r="A19" s="143" t="s">
        <v>54</v>
      </c>
      <c r="B19" s="154" t="s">
        <v>67</v>
      </c>
      <c r="C19" s="154" t="s">
        <v>75</v>
      </c>
      <c r="D19" s="0">
        <v>0</v>
      </c>
      <c r="E19" s="0">
        <v>0</v>
      </c>
      <c r="F19" s="0">
        <v>0</v>
      </c>
      <c r="G19" s="0">
        <v>0</v>
      </c>
      <c r="H19" s="0">
        <v>0</v>
      </c>
      <c r="I19" s="0">
        <v>0</v>
      </c>
      <c r="J19" s="0">
        <v>0</v>
      </c>
    </row>
    <row r="20">
      <c r="A20" s="143" t="s">
        <v>54</v>
      </c>
      <c r="B20" s="154" t="s">
        <v>67</v>
      </c>
      <c r="C20" s="154" t="s">
        <v>76</v>
      </c>
      <c r="D20" s="0">
        <v>0</v>
      </c>
      <c r="E20" s="0">
        <v>0</v>
      </c>
      <c r="F20" s="0">
        <v>0</v>
      </c>
      <c r="G20" s="0">
        <v>0</v>
      </c>
      <c r="H20" s="0">
        <v>0</v>
      </c>
      <c r="I20" s="0">
        <v>0</v>
      </c>
      <c r="J20" s="0">
        <v>0</v>
      </c>
    </row>
    <row r="21">
      <c r="A21" s="143" t="s">
        <v>54</v>
      </c>
      <c r="B21" s="154" t="s">
        <v>67</v>
      </c>
      <c r="C21" s="154" t="s">
        <v>77</v>
      </c>
      <c r="D21" s="0">
        <v>0</v>
      </c>
      <c r="E21" s="0">
        <v>0</v>
      </c>
      <c r="F21" s="0">
        <v>0</v>
      </c>
      <c r="G21" s="0">
        <v>0</v>
      </c>
      <c r="H21" s="0">
        <v>0</v>
      </c>
      <c r="I21" s="0">
        <v>0</v>
      </c>
      <c r="J21" s="0">
        <v>0</v>
      </c>
    </row>
    <row r="22">
      <c r="A22" s="143" t="s">
        <v>54</v>
      </c>
      <c r="B22" s="154" t="s">
        <v>67</v>
      </c>
      <c r="C22" s="154" t="s">
        <v>78</v>
      </c>
      <c r="D22" s="0">
        <v>0</v>
      </c>
      <c r="E22" s="0">
        <v>0</v>
      </c>
      <c r="F22" s="0">
        <v>0</v>
      </c>
      <c r="G22" s="0">
        <v>0</v>
      </c>
      <c r="H22" s="0">
        <v>0</v>
      </c>
      <c r="I22" s="0">
        <v>0</v>
      </c>
      <c r="J22" s="0">
        <v>0</v>
      </c>
    </row>
    <row r="23">
      <c r="A23" s="143" t="s">
        <v>54</v>
      </c>
      <c r="B23" s="154" t="s">
        <v>67</v>
      </c>
      <c r="C23" s="154" t="s">
        <v>79</v>
      </c>
      <c r="D23" s="0">
        <v>0</v>
      </c>
      <c r="E23" s="0">
        <v>0</v>
      </c>
      <c r="F23" s="0">
        <v>0</v>
      </c>
      <c r="G23" s="0">
        <v>0</v>
      </c>
      <c r="H23" s="0">
        <v>0</v>
      </c>
      <c r="I23" s="0">
        <v>0</v>
      </c>
      <c r="J23" s="0">
        <v>0</v>
      </c>
    </row>
    <row r="24">
      <c r="A24" s="143" t="s">
        <v>54</v>
      </c>
      <c r="B24" s="154" t="s">
        <v>67</v>
      </c>
      <c r="C24" s="154" t="s">
        <v>80</v>
      </c>
      <c r="D24" s="0">
        <v>0</v>
      </c>
      <c r="E24" s="0">
        <v>0</v>
      </c>
      <c r="F24" s="0">
        <v>0</v>
      </c>
      <c r="G24" s="0">
        <v>0</v>
      </c>
      <c r="H24" s="0">
        <v>0</v>
      </c>
      <c r="I24" s="0">
        <v>0</v>
      </c>
      <c r="J24" s="0">
        <v>0</v>
      </c>
    </row>
    <row r="25">
      <c r="A25" s="143" t="s">
        <v>54</v>
      </c>
      <c r="B25" s="154" t="s">
        <v>67</v>
      </c>
      <c r="C25" s="154" t="s">
        <v>81</v>
      </c>
      <c r="D25" s="0">
        <v>0</v>
      </c>
      <c r="E25" s="0">
        <v>0</v>
      </c>
      <c r="F25" s="0">
        <v>0</v>
      </c>
      <c r="G25" s="0">
        <v>0</v>
      </c>
      <c r="H25" s="0">
        <v>0</v>
      </c>
      <c r="I25" s="0">
        <v>0</v>
      </c>
      <c r="J25" s="0">
        <v>0</v>
      </c>
    </row>
    <row r="26">
      <c r="A26" s="143" t="s">
        <v>54</v>
      </c>
      <c r="B26" s="154" t="s">
        <v>67</v>
      </c>
      <c r="C26" s="154" t="s">
        <v>82</v>
      </c>
      <c r="D26" s="0">
        <v>0</v>
      </c>
      <c r="E26" s="0">
        <v>0</v>
      </c>
      <c r="F26" s="0">
        <v>0</v>
      </c>
      <c r="G26" s="0">
        <v>0</v>
      </c>
      <c r="H26" s="0">
        <v>0</v>
      </c>
      <c r="I26" s="0">
        <v>0</v>
      </c>
      <c r="J26" s="0">
        <v>0</v>
      </c>
    </row>
    <row r="27">
      <c r="A27" s="143" t="s">
        <v>54</v>
      </c>
      <c r="B27" s="154" t="s">
        <v>67</v>
      </c>
      <c r="C27" s="154" t="s">
        <v>83</v>
      </c>
      <c r="D27" s="0">
        <v>0</v>
      </c>
      <c r="E27" s="0">
        <v>0</v>
      </c>
      <c r="F27" s="0">
        <v>0</v>
      </c>
      <c r="G27" s="0">
        <v>0</v>
      </c>
      <c r="H27" s="0">
        <v>0</v>
      </c>
      <c r="I27" s="0">
        <v>0</v>
      </c>
      <c r="J27" s="0">
        <v>0</v>
      </c>
    </row>
    <row r="28">
      <c r="A28" s="143" t="s">
        <v>54</v>
      </c>
      <c r="B28" s="154" t="s">
        <v>67</v>
      </c>
      <c r="C28" s="154" t="s">
        <v>84</v>
      </c>
      <c r="D28" s="0">
        <v>0</v>
      </c>
      <c r="E28" s="0">
        <v>0</v>
      </c>
      <c r="F28" s="0">
        <v>0</v>
      </c>
      <c r="G28" s="0">
        <v>0</v>
      </c>
      <c r="H28" s="0">
        <v>0</v>
      </c>
      <c r="I28" s="0">
        <v>0</v>
      </c>
      <c r="J28" s="0">
        <v>0</v>
      </c>
    </row>
    <row r="29">
      <c r="A29" s="143" t="s">
        <v>54</v>
      </c>
      <c r="B29" s="154" t="s">
        <v>67</v>
      </c>
      <c r="C29" s="154" t="s">
        <v>85</v>
      </c>
      <c r="D29" s="0">
        <v>0</v>
      </c>
      <c r="E29" s="0">
        <v>0</v>
      </c>
      <c r="F29" s="0">
        <v>0</v>
      </c>
      <c r="G29" s="0">
        <v>0</v>
      </c>
      <c r="H29" s="0">
        <v>0</v>
      </c>
      <c r="I29" s="0">
        <v>0</v>
      </c>
      <c r="J29" s="0">
        <v>0</v>
      </c>
    </row>
    <row r="30">
      <c r="A30" s="143" t="s">
        <v>54</v>
      </c>
      <c r="B30" s="154" t="s">
        <v>67</v>
      </c>
      <c r="C30" s="154" t="s">
        <v>86</v>
      </c>
      <c r="D30" s="0">
        <v>0</v>
      </c>
      <c r="E30" s="0">
        <v>0</v>
      </c>
      <c r="F30" s="0">
        <v>0</v>
      </c>
      <c r="G30" s="0">
        <v>0</v>
      </c>
      <c r="H30" s="0">
        <v>0</v>
      </c>
      <c r="I30" s="0">
        <v>0</v>
      </c>
      <c r="J30" s="0">
        <v>0</v>
      </c>
    </row>
    <row r="31">
      <c r="A31" s="143" t="s">
        <v>54</v>
      </c>
      <c r="B31" s="154" t="s">
        <v>67</v>
      </c>
      <c r="C31" s="154" t="s">
        <v>87</v>
      </c>
      <c r="D31" s="0">
        <v>0</v>
      </c>
      <c r="E31" s="0">
        <v>0</v>
      </c>
      <c r="F31" s="0">
        <v>0</v>
      </c>
      <c r="G31" s="0">
        <v>0</v>
      </c>
      <c r="H31" s="0">
        <v>0</v>
      </c>
      <c r="I31" s="0">
        <v>0</v>
      </c>
      <c r="J31" s="0">
        <v>0</v>
      </c>
    </row>
    <row r="32">
      <c r="A32" s="143" t="s">
        <v>54</v>
      </c>
      <c r="B32" s="154" t="s">
        <v>67</v>
      </c>
      <c r="C32" s="154" t="s">
        <v>88</v>
      </c>
      <c r="D32" s="0">
        <v>0</v>
      </c>
      <c r="E32" s="0">
        <v>0</v>
      </c>
      <c r="F32" s="0">
        <v>0</v>
      </c>
      <c r="G32" s="0">
        <v>0</v>
      </c>
      <c r="H32" s="0">
        <v>0</v>
      </c>
      <c r="I32" s="0">
        <v>0</v>
      </c>
      <c r="J32" s="0">
        <v>0</v>
      </c>
    </row>
    <row r="33">
      <c r="A33" s="143" t="s">
        <v>54</v>
      </c>
      <c r="B33" s="154" t="s">
        <v>67</v>
      </c>
      <c r="C33" s="154" t="s">
        <v>89</v>
      </c>
      <c r="D33" s="0">
        <v>0</v>
      </c>
      <c r="E33" s="0">
        <v>0</v>
      </c>
      <c r="F33" s="0">
        <v>0</v>
      </c>
      <c r="G33" s="0">
        <v>0</v>
      </c>
      <c r="H33" s="0">
        <v>0</v>
      </c>
      <c r="I33" s="0">
        <v>0</v>
      </c>
      <c r="J33" s="0">
        <v>0</v>
      </c>
    </row>
    <row r="34">
      <c r="A34" s="143" t="s">
        <v>54</v>
      </c>
      <c r="B34" s="154" t="s">
        <v>67</v>
      </c>
      <c r="C34" s="154" t="s">
        <v>90</v>
      </c>
      <c r="D34" s="0">
        <v>0</v>
      </c>
      <c r="E34" s="0">
        <v>0</v>
      </c>
      <c r="F34" s="0">
        <v>0</v>
      </c>
      <c r="G34" s="0">
        <v>0</v>
      </c>
      <c r="H34" s="0">
        <v>0</v>
      </c>
      <c r="I34" s="0">
        <v>0</v>
      </c>
      <c r="J34" s="0">
        <v>0</v>
      </c>
    </row>
    <row r="35">
      <c r="A35" s="143" t="s">
        <v>54</v>
      </c>
      <c r="B35" s="154" t="s">
        <v>67</v>
      </c>
      <c r="C35" s="154" t="s">
        <v>91</v>
      </c>
      <c r="D35" s="0">
        <v>0</v>
      </c>
      <c r="E35" s="0">
        <v>0</v>
      </c>
      <c r="F35" s="0">
        <v>0</v>
      </c>
      <c r="G35" s="0">
        <v>0</v>
      </c>
      <c r="H35" s="0">
        <v>0</v>
      </c>
      <c r="I35" s="0">
        <v>0</v>
      </c>
      <c r="J35" s="0">
        <v>0</v>
      </c>
    </row>
    <row r="36">
      <c r="A36" s="143" t="s">
        <v>54</v>
      </c>
      <c r="B36" s="154" t="s">
        <v>67</v>
      </c>
      <c r="C36" s="154" t="s">
        <v>92</v>
      </c>
      <c r="D36" s="0">
        <v>0</v>
      </c>
      <c r="E36" s="0">
        <v>0</v>
      </c>
      <c r="F36" s="0">
        <v>0</v>
      </c>
      <c r="G36" s="0">
        <v>0</v>
      </c>
      <c r="H36" s="0">
        <v>0</v>
      </c>
      <c r="I36" s="0">
        <v>0</v>
      </c>
      <c r="J36" s="0">
        <v>0</v>
      </c>
    </row>
    <row r="37">
      <c r="A37" s="143" t="s">
        <v>54</v>
      </c>
      <c r="B37" s="154" t="s">
        <v>67</v>
      </c>
      <c r="C37" s="154" t="s">
        <v>93</v>
      </c>
      <c r="D37" s="0">
        <v>0</v>
      </c>
      <c r="E37" s="0">
        <v>0</v>
      </c>
      <c r="F37" s="0">
        <v>0</v>
      </c>
      <c r="G37" s="0">
        <v>0</v>
      </c>
      <c r="H37" s="0">
        <v>0</v>
      </c>
      <c r="I37" s="0">
        <v>0</v>
      </c>
      <c r="J37" s="0">
        <v>0</v>
      </c>
    </row>
    <row r="38">
      <c r="A38" s="143" t="s">
        <v>54</v>
      </c>
      <c r="B38" s="154" t="s">
        <v>67</v>
      </c>
      <c r="C38" s="154" t="s">
        <v>94</v>
      </c>
      <c r="D38" s="0">
        <v>0</v>
      </c>
      <c r="E38" s="0">
        <v>0</v>
      </c>
      <c r="F38" s="0">
        <v>0</v>
      </c>
      <c r="G38" s="0">
        <v>0</v>
      </c>
      <c r="H38" s="0">
        <v>0</v>
      </c>
      <c r="I38" s="0">
        <v>0</v>
      </c>
      <c r="J38" s="0">
        <v>0</v>
      </c>
    </row>
    <row r="39">
      <c r="A39" s="143" t="s">
        <v>54</v>
      </c>
      <c r="B39" s="154" t="s">
        <v>67</v>
      </c>
      <c r="C39" s="154" t="s">
        <v>95</v>
      </c>
      <c r="D39" s="0">
        <v>0</v>
      </c>
      <c r="E39" s="0">
        <v>0</v>
      </c>
      <c r="F39" s="0">
        <v>0</v>
      </c>
      <c r="G39" s="0">
        <v>0</v>
      </c>
      <c r="H39" s="0">
        <v>0</v>
      </c>
      <c r="I39" s="0">
        <v>0</v>
      </c>
      <c r="J39" s="0">
        <v>0</v>
      </c>
    </row>
    <row r="40">
      <c r="A40" s="143" t="s">
        <v>54</v>
      </c>
      <c r="B40" s="154" t="s">
        <v>67</v>
      </c>
      <c r="C40" s="154" t="s">
        <v>96</v>
      </c>
      <c r="D40" s="0">
        <v>0</v>
      </c>
      <c r="E40" s="0">
        <v>0</v>
      </c>
      <c r="F40" s="0">
        <v>0</v>
      </c>
      <c r="G40" s="0">
        <v>0</v>
      </c>
      <c r="H40" s="0">
        <v>0</v>
      </c>
      <c r="I40" s="0">
        <v>0</v>
      </c>
      <c r="J40" s="0">
        <v>0</v>
      </c>
    </row>
    <row r="41">
      <c r="A41" s="143" t="s">
        <v>54</v>
      </c>
      <c r="B41" s="154" t="s">
        <v>67</v>
      </c>
      <c r="C41" s="154" t="s">
        <v>97</v>
      </c>
      <c r="D41" s="0">
        <v>0</v>
      </c>
      <c r="E41" s="0">
        <v>0</v>
      </c>
      <c r="F41" s="0">
        <v>0</v>
      </c>
      <c r="G41" s="0">
        <v>0</v>
      </c>
      <c r="H41" s="0">
        <v>0</v>
      </c>
      <c r="I41" s="0">
        <v>0</v>
      </c>
      <c r="J41" s="0">
        <v>0</v>
      </c>
    </row>
    <row r="42">
      <c r="A42" s="143" t="s">
        <v>54</v>
      </c>
      <c r="B42" s="154" t="s">
        <v>98</v>
      </c>
      <c r="C42" s="154" t="s">
        <v>99</v>
      </c>
      <c r="D42" s="0">
        <v>0</v>
      </c>
      <c r="E42" s="0">
        <v>0</v>
      </c>
      <c r="F42" s="0">
        <v>0</v>
      </c>
      <c r="G42" s="0">
        <v>0</v>
      </c>
      <c r="H42" s="0">
        <v>0</v>
      </c>
      <c r="I42" s="0">
        <v>0</v>
      </c>
      <c r="J42" s="0">
        <v>0</v>
      </c>
    </row>
    <row r="43">
      <c r="A43" s="143" t="s">
        <v>54</v>
      </c>
      <c r="B43" s="154" t="s">
        <v>98</v>
      </c>
      <c r="C43" s="154" t="s">
        <v>100</v>
      </c>
      <c r="D43" s="0">
        <v>0</v>
      </c>
      <c r="E43" s="0">
        <v>0</v>
      </c>
      <c r="F43" s="0">
        <v>0</v>
      </c>
      <c r="G43" s="0">
        <v>0</v>
      </c>
      <c r="H43" s="0">
        <v>0</v>
      </c>
      <c r="I43" s="0">
        <v>0</v>
      </c>
      <c r="J43" s="0">
        <v>0</v>
      </c>
    </row>
    <row r="44">
      <c r="A44" s="143" t="s">
        <v>54</v>
      </c>
      <c r="B44" s="154" t="s">
        <v>98</v>
      </c>
      <c r="C44" s="154" t="s">
        <v>101</v>
      </c>
      <c r="D44" s="0">
        <v>0</v>
      </c>
      <c r="E44" s="0">
        <v>0</v>
      </c>
      <c r="F44" s="0">
        <v>0</v>
      </c>
      <c r="G44" s="0">
        <v>0</v>
      </c>
      <c r="H44" s="0">
        <v>0</v>
      </c>
      <c r="I44" s="0">
        <v>0</v>
      </c>
      <c r="J44" s="0">
        <v>0</v>
      </c>
    </row>
    <row r="45">
      <c r="A45" s="143" t="s">
        <v>54</v>
      </c>
      <c r="B45" s="154" t="s">
        <v>98</v>
      </c>
      <c r="C45" s="154" t="s">
        <v>102</v>
      </c>
      <c r="D45" s="0">
        <v>0</v>
      </c>
      <c r="E45" s="0">
        <v>0</v>
      </c>
      <c r="F45" s="0">
        <v>0</v>
      </c>
      <c r="G45" s="0">
        <v>0</v>
      </c>
      <c r="H45" s="0">
        <v>0</v>
      </c>
      <c r="I45" s="0">
        <v>0</v>
      </c>
      <c r="J45" s="0">
        <v>0</v>
      </c>
    </row>
    <row r="46">
      <c r="A46" s="143" t="s">
        <v>54</v>
      </c>
      <c r="B46" s="154" t="s">
        <v>98</v>
      </c>
      <c r="C46" s="154" t="s">
        <v>103</v>
      </c>
      <c r="D46" s="0">
        <v>0</v>
      </c>
      <c r="E46" s="0">
        <v>0</v>
      </c>
      <c r="F46" s="0">
        <v>0</v>
      </c>
      <c r="G46" s="0">
        <v>0</v>
      </c>
      <c r="H46" s="0">
        <v>0</v>
      </c>
      <c r="I46" s="0">
        <v>0</v>
      </c>
      <c r="J46" s="0">
        <v>0</v>
      </c>
    </row>
    <row r="47">
      <c r="A47" s="143" t="s">
        <v>54</v>
      </c>
      <c r="B47" s="154" t="s">
        <v>98</v>
      </c>
      <c r="C47" s="154" t="s">
        <v>104</v>
      </c>
      <c r="D47" s="0">
        <v>0</v>
      </c>
      <c r="E47" s="0">
        <v>0</v>
      </c>
      <c r="F47" s="0">
        <v>0</v>
      </c>
      <c r="G47" s="0">
        <v>0</v>
      </c>
      <c r="H47" s="0">
        <v>0</v>
      </c>
      <c r="I47" s="0">
        <v>0</v>
      </c>
      <c r="J47" s="0">
        <v>0</v>
      </c>
    </row>
    <row r="48">
      <c r="A48" s="143" t="s">
        <v>54</v>
      </c>
      <c r="B48" s="154" t="s">
        <v>98</v>
      </c>
      <c r="C48" s="154" t="s">
        <v>105</v>
      </c>
      <c r="D48" s="0">
        <v>0</v>
      </c>
      <c r="E48" s="0">
        <v>0</v>
      </c>
      <c r="F48" s="0">
        <v>0</v>
      </c>
      <c r="G48" s="0">
        <v>0</v>
      </c>
      <c r="H48" s="0">
        <v>0</v>
      </c>
      <c r="I48" s="0">
        <v>0</v>
      </c>
      <c r="J48" s="0">
        <v>0</v>
      </c>
    </row>
    <row r="49">
      <c r="A49" s="143" t="s">
        <v>54</v>
      </c>
      <c r="B49" s="154" t="s">
        <v>106</v>
      </c>
      <c r="C49" s="154" t="s">
        <v>107</v>
      </c>
      <c r="D49" s="0">
        <v>0</v>
      </c>
      <c r="E49" s="0">
        <v>0</v>
      </c>
      <c r="F49" s="0">
        <v>0</v>
      </c>
      <c r="G49" s="0">
        <v>0</v>
      </c>
      <c r="H49" s="0">
        <v>0</v>
      </c>
      <c r="I49" s="0">
        <v>0</v>
      </c>
      <c r="J49" s="0">
        <v>0</v>
      </c>
    </row>
    <row r="50">
      <c r="A50" s="143" t="s">
        <v>54</v>
      </c>
      <c r="B50" s="144" t="s">
        <v>108</v>
      </c>
      <c r="C50" s="144" t="s">
        <v>109</v>
      </c>
      <c r="D50" s="0">
        <v>0</v>
      </c>
      <c r="E50" s="0">
        <v>0</v>
      </c>
      <c r="F50" s="0">
        <v>0</v>
      </c>
      <c r="G50" s="0">
        <v>0</v>
      </c>
      <c r="H50" s="0">
        <v>0</v>
      </c>
      <c r="I50" s="0">
        <v>0</v>
      </c>
      <c r="J50" s="0">
        <v>0</v>
      </c>
    </row>
    <row r="51">
      <c r="A51" s="143" t="s">
        <v>54</v>
      </c>
      <c r="B51" s="144" t="s">
        <v>108</v>
      </c>
      <c r="C51" s="144" t="s">
        <v>110</v>
      </c>
      <c r="D51" s="0">
        <v>0</v>
      </c>
      <c r="E51" s="0">
        <v>0</v>
      </c>
      <c r="F51" s="0">
        <v>0</v>
      </c>
      <c r="G51" s="0">
        <v>0</v>
      </c>
      <c r="H51" s="0">
        <v>0</v>
      </c>
      <c r="I51" s="0">
        <v>0</v>
      </c>
      <c r="J51" s="0">
        <v>0</v>
      </c>
    </row>
    <row r="52">
      <c r="A52" s="143" t="s">
        <v>54</v>
      </c>
      <c r="B52" s="144" t="s">
        <v>108</v>
      </c>
      <c r="C52" s="144" t="s">
        <v>111</v>
      </c>
      <c r="D52" s="0">
        <v>0</v>
      </c>
      <c r="E52" s="0">
        <v>0</v>
      </c>
      <c r="F52" s="0">
        <v>0</v>
      </c>
      <c r="G52" s="0">
        <v>0</v>
      </c>
      <c r="H52" s="0">
        <v>0</v>
      </c>
      <c r="I52" s="0">
        <v>0</v>
      </c>
      <c r="J52" s="0">
        <v>0</v>
      </c>
    </row>
    <row r="53">
      <c r="A53" s="143" t="s">
        <v>54</v>
      </c>
      <c r="B53" s="144" t="s">
        <v>108</v>
      </c>
      <c r="C53" s="144" t="s">
        <v>112</v>
      </c>
      <c r="D53" s="0">
        <v>0</v>
      </c>
      <c r="E53" s="0">
        <v>0</v>
      </c>
      <c r="F53" s="0">
        <v>0</v>
      </c>
      <c r="G53" s="0">
        <v>0</v>
      </c>
      <c r="H53" s="0">
        <v>0</v>
      </c>
      <c r="I53" s="0">
        <v>0</v>
      </c>
      <c r="J53" s="0">
        <v>0</v>
      </c>
    </row>
    <row r="54">
      <c r="A54" s="143" t="s">
        <v>54</v>
      </c>
      <c r="B54" s="144" t="s">
        <v>108</v>
      </c>
      <c r="C54" s="144" t="s">
        <v>113</v>
      </c>
      <c r="D54" s="0">
        <v>0</v>
      </c>
      <c r="E54" s="0">
        <v>0</v>
      </c>
      <c r="F54" s="0">
        <v>0</v>
      </c>
      <c r="G54" s="0">
        <v>0</v>
      </c>
      <c r="H54" s="0">
        <v>0</v>
      </c>
      <c r="I54" s="0">
        <v>0</v>
      </c>
      <c r="J54" s="0">
        <v>0</v>
      </c>
    </row>
    <row r="55">
      <c r="A55" s="143" t="s">
        <v>54</v>
      </c>
      <c r="B55" s="144" t="s">
        <v>108</v>
      </c>
      <c r="C55" s="144" t="s">
        <v>114</v>
      </c>
      <c r="D55" s="0">
        <v>0</v>
      </c>
      <c r="E55" s="0">
        <v>0</v>
      </c>
      <c r="F55" s="0">
        <v>0</v>
      </c>
      <c r="G55" s="0">
        <v>0</v>
      </c>
      <c r="H55" s="0">
        <v>0</v>
      </c>
      <c r="I55" s="0">
        <v>0</v>
      </c>
      <c r="J55" s="0">
        <v>0</v>
      </c>
    </row>
    <row r="56">
      <c r="A56" s="143" t="s">
        <v>54</v>
      </c>
      <c r="B56" s="144" t="s">
        <v>108</v>
      </c>
      <c r="C56" s="144" t="s">
        <v>115</v>
      </c>
      <c r="D56" s="0">
        <v>0</v>
      </c>
      <c r="E56" s="0">
        <v>0</v>
      </c>
      <c r="F56" s="0">
        <v>0</v>
      </c>
      <c r="G56" s="0">
        <v>0</v>
      </c>
      <c r="H56" s="0">
        <v>0</v>
      </c>
      <c r="I56" s="0">
        <v>0</v>
      </c>
      <c r="J56" s="0">
        <v>0</v>
      </c>
    </row>
    <row r="57">
      <c r="A57" s="143" t="s">
        <v>54</v>
      </c>
      <c r="B57" s="154" t="s">
        <v>116</v>
      </c>
      <c r="C57" s="154" t="s">
        <v>117</v>
      </c>
      <c r="D57" s="0">
        <v>0</v>
      </c>
      <c r="E57" s="0">
        <v>0</v>
      </c>
      <c r="F57" s="0">
        <v>0</v>
      </c>
      <c r="G57" s="0">
        <v>0</v>
      </c>
      <c r="H57" s="0">
        <v>0</v>
      </c>
      <c r="I57" s="0">
        <v>0</v>
      </c>
      <c r="J57" s="0">
        <v>0</v>
      </c>
    </row>
    <row r="58">
      <c r="A58" s="143" t="s">
        <v>54</v>
      </c>
      <c r="B58" s="154" t="s">
        <v>116</v>
      </c>
      <c r="C58" s="154" t="s">
        <v>118</v>
      </c>
      <c r="D58" s="0">
        <v>0</v>
      </c>
      <c r="E58" s="0">
        <v>0</v>
      </c>
      <c r="F58" s="0">
        <v>0</v>
      </c>
      <c r="G58" s="0">
        <v>0</v>
      </c>
      <c r="H58" s="0">
        <v>0</v>
      </c>
      <c r="I58" s="0">
        <v>0</v>
      </c>
      <c r="J58" s="0">
        <v>0</v>
      </c>
    </row>
    <row r="59">
      <c r="A59" s="143" t="s">
        <v>54</v>
      </c>
      <c r="B59" s="154" t="s">
        <v>116</v>
      </c>
      <c r="C59" s="154" t="s">
        <v>119</v>
      </c>
      <c r="D59" s="0">
        <v>0</v>
      </c>
      <c r="E59" s="0">
        <v>0</v>
      </c>
      <c r="F59" s="0">
        <v>0</v>
      </c>
      <c r="G59" s="0">
        <v>0</v>
      </c>
      <c r="H59" s="0">
        <v>0</v>
      </c>
      <c r="I59" s="0">
        <v>0</v>
      </c>
      <c r="J59" s="0">
        <v>0</v>
      </c>
    </row>
    <row r="60">
      <c r="A60" s="143" t="s">
        <v>54</v>
      </c>
      <c r="B60" s="154" t="s">
        <v>116</v>
      </c>
      <c r="C60" s="154" t="s">
        <v>120</v>
      </c>
      <c r="D60" s="0">
        <v>0</v>
      </c>
      <c r="E60" s="0">
        <v>0</v>
      </c>
      <c r="F60" s="0">
        <v>0</v>
      </c>
      <c r="G60" s="0">
        <v>0</v>
      </c>
      <c r="H60" s="0">
        <v>0</v>
      </c>
      <c r="I60" s="0">
        <v>0</v>
      </c>
      <c r="J60" s="0">
        <v>0</v>
      </c>
    </row>
    <row r="61">
      <c r="A61" s="143" t="s">
        <v>54</v>
      </c>
      <c r="B61" s="154" t="s">
        <v>116</v>
      </c>
      <c r="C61" s="154" t="s">
        <v>121</v>
      </c>
      <c r="D61" s="0">
        <v>0</v>
      </c>
      <c r="E61" s="0">
        <v>0</v>
      </c>
      <c r="F61" s="0">
        <v>0</v>
      </c>
      <c r="G61" s="0">
        <v>0</v>
      </c>
      <c r="H61" s="0">
        <v>0</v>
      </c>
      <c r="I61" s="0">
        <v>0</v>
      </c>
      <c r="J61" s="0">
        <v>0</v>
      </c>
    </row>
    <row r="62">
      <c r="A62" s="143" t="s">
        <v>54</v>
      </c>
      <c r="B62" s="154" t="s">
        <v>116</v>
      </c>
      <c r="C62" s="154" t="s">
        <v>122</v>
      </c>
      <c r="D62" s="0">
        <v>0</v>
      </c>
      <c r="E62" s="0">
        <v>0</v>
      </c>
      <c r="F62" s="0">
        <v>0</v>
      </c>
      <c r="G62" s="0">
        <v>0</v>
      </c>
      <c r="H62" s="0">
        <v>0</v>
      </c>
      <c r="I62" s="0">
        <v>0</v>
      </c>
      <c r="J62" s="0">
        <v>0</v>
      </c>
    </row>
    <row r="63">
      <c r="A63" s="143" t="s">
        <v>54</v>
      </c>
      <c r="B63" s="154" t="s">
        <v>116</v>
      </c>
      <c r="C63" s="154" t="s">
        <v>123</v>
      </c>
      <c r="D63" s="0">
        <v>0</v>
      </c>
      <c r="E63" s="0">
        <v>0</v>
      </c>
      <c r="F63" s="0">
        <v>0</v>
      </c>
      <c r="G63" s="0">
        <v>0</v>
      </c>
      <c r="H63" s="0">
        <v>0</v>
      </c>
      <c r="I63" s="0">
        <v>0</v>
      </c>
      <c r="J63" s="0">
        <v>0</v>
      </c>
    </row>
    <row r="64">
      <c r="A64" s="143" t="s">
        <v>54</v>
      </c>
      <c r="B64" s="154" t="s">
        <v>116</v>
      </c>
      <c r="C64" s="154" t="s">
        <v>124</v>
      </c>
      <c r="D64" s="0">
        <v>0</v>
      </c>
      <c r="E64" s="0">
        <v>0</v>
      </c>
      <c r="F64" s="0">
        <v>0</v>
      </c>
      <c r="G64" s="0">
        <v>0</v>
      </c>
      <c r="H64" s="0">
        <v>0</v>
      </c>
      <c r="I64" s="0">
        <v>0</v>
      </c>
      <c r="J64" s="0">
        <v>0</v>
      </c>
    </row>
    <row r="65">
      <c r="A65" s="143" t="s">
        <v>54</v>
      </c>
      <c r="B65" s="154" t="s">
        <v>116</v>
      </c>
      <c r="C65" s="154" t="s">
        <v>125</v>
      </c>
      <c r="D65" s="0">
        <v>0</v>
      </c>
      <c r="E65" s="0">
        <v>0</v>
      </c>
      <c r="F65" s="0">
        <v>0</v>
      </c>
      <c r="G65" s="0">
        <v>0</v>
      </c>
      <c r="H65" s="0">
        <v>0</v>
      </c>
      <c r="I65" s="0">
        <v>0</v>
      </c>
      <c r="J65" s="0">
        <v>0</v>
      </c>
    </row>
    <row r="66">
      <c r="A66" s="143" t="s">
        <v>54</v>
      </c>
      <c r="B66" s="154" t="s">
        <v>116</v>
      </c>
      <c r="C66" s="154" t="s">
        <v>126</v>
      </c>
      <c r="D66" s="0">
        <v>0</v>
      </c>
      <c r="E66" s="0">
        <v>0</v>
      </c>
      <c r="F66" s="0">
        <v>0</v>
      </c>
      <c r="G66" s="0">
        <v>0</v>
      </c>
      <c r="H66" s="0">
        <v>0</v>
      </c>
      <c r="I66" s="0">
        <v>0</v>
      </c>
      <c r="J66" s="0">
        <v>0</v>
      </c>
    </row>
    <row r="67">
      <c r="A67" s="143" t="s">
        <v>54</v>
      </c>
      <c r="B67" s="154" t="s">
        <v>127</v>
      </c>
      <c r="C67" s="154" t="s">
        <v>128</v>
      </c>
      <c r="D67" s="0">
        <v>0</v>
      </c>
      <c r="E67" s="0">
        <v>0</v>
      </c>
      <c r="F67" s="0">
        <v>0</v>
      </c>
      <c r="G67" s="0">
        <v>0</v>
      </c>
      <c r="H67" s="0">
        <v>0</v>
      </c>
      <c r="I67" s="0">
        <v>0</v>
      </c>
      <c r="J67" s="0">
        <v>0</v>
      </c>
    </row>
    <row r="68">
      <c r="A68" s="143" t="s">
        <v>54</v>
      </c>
      <c r="B68" s="154" t="s">
        <v>129</v>
      </c>
      <c r="C68" s="154" t="s">
        <v>130</v>
      </c>
      <c r="D68" s="0">
        <v>0</v>
      </c>
      <c r="E68" s="0">
        <v>0</v>
      </c>
      <c r="F68" s="0">
        <v>0</v>
      </c>
      <c r="G68" s="0">
        <v>0</v>
      </c>
      <c r="H68" s="0">
        <v>0</v>
      </c>
      <c r="I68" s="0">
        <v>0</v>
      </c>
      <c r="J68" s="0">
        <v>0</v>
      </c>
    </row>
    <row r="69">
      <c r="A69" s="143" t="s">
        <v>54</v>
      </c>
      <c r="B69" s="154" t="s">
        <v>131</v>
      </c>
      <c r="C69" s="154" t="s">
        <v>132</v>
      </c>
      <c r="D69" s="0">
        <v>0</v>
      </c>
      <c r="E69" s="0">
        <v>0</v>
      </c>
      <c r="F69" s="0">
        <v>0</v>
      </c>
      <c r="G69" s="0">
        <v>0</v>
      </c>
      <c r="H69" s="0">
        <v>0</v>
      </c>
      <c r="I69" s="0">
        <v>0</v>
      </c>
      <c r="J69" s="0">
        <v>0</v>
      </c>
    </row>
    <row r="70">
      <c r="A70" s="143" t="s">
        <v>54</v>
      </c>
      <c r="B70" s="154" t="s">
        <v>131</v>
      </c>
      <c r="C70" s="154" t="s">
        <v>133</v>
      </c>
      <c r="D70" s="0">
        <v>0</v>
      </c>
      <c r="E70" s="0">
        <v>0</v>
      </c>
      <c r="F70" s="0">
        <v>0</v>
      </c>
      <c r="G70" s="0">
        <v>0</v>
      </c>
      <c r="H70" s="0">
        <v>0</v>
      </c>
      <c r="I70" s="0">
        <v>0</v>
      </c>
      <c r="J70" s="0">
        <v>0</v>
      </c>
    </row>
    <row r="71">
      <c r="A71" s="143" t="s">
        <v>54</v>
      </c>
      <c r="B71" s="154" t="s">
        <v>131</v>
      </c>
      <c r="C71" s="154" t="s">
        <v>134</v>
      </c>
      <c r="D71" s="0">
        <v>0</v>
      </c>
      <c r="E71" s="0">
        <v>0</v>
      </c>
      <c r="F71" s="0">
        <v>0</v>
      </c>
      <c r="G71" s="0">
        <v>0</v>
      </c>
      <c r="H71" s="0">
        <v>0</v>
      </c>
      <c r="I71" s="0">
        <v>0</v>
      </c>
      <c r="J71" s="0">
        <v>0</v>
      </c>
    </row>
    <row r="72">
      <c r="A72" s="143" t="s">
        <v>54</v>
      </c>
      <c r="B72" s="154" t="s">
        <v>131</v>
      </c>
      <c r="C72" s="154" t="s">
        <v>135</v>
      </c>
      <c r="D72" s="0">
        <v>0</v>
      </c>
      <c r="E72" s="0">
        <v>0</v>
      </c>
      <c r="F72" s="0">
        <v>0</v>
      </c>
      <c r="G72" s="0">
        <v>0</v>
      </c>
      <c r="H72" s="0">
        <v>0</v>
      </c>
      <c r="I72" s="0">
        <v>0</v>
      </c>
      <c r="J72" s="0">
        <v>0</v>
      </c>
    </row>
    <row r="73">
      <c r="A73" s="143" t="s">
        <v>54</v>
      </c>
      <c r="B73" s="154" t="s">
        <v>131</v>
      </c>
      <c r="C73" s="154" t="s">
        <v>136</v>
      </c>
      <c r="D73" s="0">
        <v>0</v>
      </c>
      <c r="E73" s="0">
        <v>0</v>
      </c>
      <c r="F73" s="0">
        <v>0</v>
      </c>
      <c r="G73" s="0">
        <v>0</v>
      </c>
      <c r="H73" s="0">
        <v>0</v>
      </c>
      <c r="I73" s="0">
        <v>0</v>
      </c>
      <c r="J73" s="0">
        <v>0</v>
      </c>
    </row>
    <row r="74">
      <c r="A74" s="143" t="s">
        <v>54</v>
      </c>
      <c r="B74" s="154" t="s">
        <v>131</v>
      </c>
      <c r="C74" s="154" t="s">
        <v>137</v>
      </c>
      <c r="D74" s="0">
        <v>0</v>
      </c>
      <c r="E74" s="0">
        <v>0</v>
      </c>
      <c r="F74" s="0">
        <v>0</v>
      </c>
      <c r="G74" s="0">
        <v>0</v>
      </c>
      <c r="H74" s="0">
        <v>0</v>
      </c>
      <c r="I74" s="0">
        <v>0</v>
      </c>
      <c r="J74" s="0">
        <v>0</v>
      </c>
    </row>
    <row r="75">
      <c r="A75" s="143" t="s">
        <v>54</v>
      </c>
      <c r="B75" s="154" t="s">
        <v>131</v>
      </c>
      <c r="C75" s="154" t="s">
        <v>138</v>
      </c>
      <c r="D75" s="0">
        <v>0</v>
      </c>
      <c r="E75" s="0">
        <v>0</v>
      </c>
      <c r="F75" s="0">
        <v>0</v>
      </c>
      <c r="G75" s="0">
        <v>0</v>
      </c>
      <c r="H75" s="0">
        <v>0</v>
      </c>
      <c r="I75" s="0">
        <v>0</v>
      </c>
      <c r="J75" s="0">
        <v>0</v>
      </c>
    </row>
  </sheetData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9" tint="0.79998168889431442"/>
  </sheetPr>
  <dimension ref="A1:T5"/>
  <sheetViews>
    <sheetView zoomScaleNormal="100" workbookViewId="0">
      <selection activeCell="S8" sqref="S8"/>
    </sheetView>
  </sheetViews>
  <sheetFormatPr defaultColWidth="11.42578125" defaultRowHeight="15"/>
  <cols>
    <col min="1" max="1" bestFit="1" width="15.7109375" customWidth="1"/>
    <col min="2" max="2" bestFit="1" width="11.7109375" customWidth="1"/>
    <col min="3" max="3" bestFit="1" width="41.140625" customWidth="1"/>
    <col min="4" max="4" width="2.85546875" customWidth="1"/>
    <col min="5" max="5" bestFit="1" width="17.5703125" customWidth="1"/>
    <col min="6" max="6" bestFit="1" width="11.7109375" customWidth="1"/>
    <col min="7" max="12" width="2.140625" customWidth="1"/>
    <col min="13" max="13" bestFit="1" width="11.7109375" customWidth="1"/>
    <col min="14" max="14" bestFit="1" width="10.7109375" customWidth="1"/>
    <col min="15" max="15" bestFit="1" width="14.28515625" customWidth="1"/>
    <col min="16" max="18" width="2" customWidth="1"/>
    <col min="19" max="19" bestFit="1" width="22.140625" customWidth="1"/>
    <col min="20" max="20" bestFit="1" width="12.42578125" customWidth="1"/>
  </cols>
  <sheetData>
    <row r="1" s="203" customFormat="1">
      <c r="A1" s="202" t="s">
        <v>44</v>
      </c>
      <c r="B1" s="202" t="s">
        <v>45</v>
      </c>
      <c r="C1" s="202" t="s">
        <v>46</v>
      </c>
      <c r="D1" s="202"/>
      <c r="E1" s="202" t="s">
        <v>44</v>
      </c>
      <c r="F1" s="202" t="s">
        <v>45</v>
      </c>
      <c r="M1" s="202" t="s">
        <v>196</v>
      </c>
      <c r="N1" s="202" t="s">
        <v>197</v>
      </c>
      <c r="O1" s="202" t="s">
        <v>198</v>
      </c>
      <c r="S1" s="202" t="s">
        <v>199</v>
      </c>
      <c r="T1" s="202" t="s">
        <v>200</v>
      </c>
    </row>
    <row r="2">
      <c r="A2" s="0" t="s">
        <v>201</v>
      </c>
      <c r="B2" s="0" t="s">
        <v>67</v>
      </c>
      <c r="C2" s="0" t="s">
        <v>159</v>
      </c>
      <c r="E2" s="0" t="s">
        <v>201</v>
      </c>
      <c r="F2" s="0" t="s">
        <v>67</v>
      </c>
      <c r="M2" s="0" t="s">
        <v>202</v>
      </c>
      <c r="N2" s="0" t="s">
        <v>203</v>
      </c>
      <c r="O2" s="0" t="s">
        <v>203</v>
      </c>
      <c r="S2" s="0" t="s">
        <v>204</v>
      </c>
    </row>
    <row r="3">
      <c r="A3" s="0" t="s">
        <v>201</v>
      </c>
      <c r="B3" s="0" t="s">
        <v>116</v>
      </c>
      <c r="C3" s="0" t="s">
        <v>163</v>
      </c>
      <c r="E3" s="0" t="s">
        <v>201</v>
      </c>
      <c r="F3" s="0" t="s">
        <v>116</v>
      </c>
    </row>
    <row r="4">
      <c r="A4" s="0" t="s">
        <v>201</v>
      </c>
      <c r="B4" s="0" t="s">
        <v>131</v>
      </c>
      <c r="C4" s="0" t="s">
        <v>135</v>
      </c>
      <c r="E4" s="0" t="s">
        <v>201</v>
      </c>
      <c r="F4" s="0" t="s">
        <v>131</v>
      </c>
    </row>
    <row r="5">
      <c r="A5" s="0" t="s">
        <v>201</v>
      </c>
      <c r="B5" s="0" t="s">
        <v>131</v>
      </c>
      <c r="C5" s="0" t="s">
        <v>165</v>
      </c>
    </row>
  </sheetData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tabSelected="1" workbookViewId="0">
      <selection activeCell="L12" sqref="L12"/>
    </sheetView>
  </sheetViews>
  <sheetFormatPr defaultRowHeight="15"/>
  <cols>
    <col min="1" max="1" width="10" customWidth="1"/>
    <col min="3" max="3" width="11.42578125" customWidth="1"/>
    <col min="4" max="4" width="16" customWidth="1"/>
    <col min="5" max="5" width="34" customWidth="1"/>
    <col min="6" max="6" width="20" customWidth="1"/>
    <col min="8" max="8" width="19.85546875" customWidth="1"/>
    <col min="9" max="9" width="16" customWidth="1"/>
    <col min="10" max="10" width="8.28515625" customWidth="1"/>
  </cols>
  <sheetData>
    <row r="1">
      <c r="A1" s="202" t="s">
        <v>205</v>
      </c>
      <c r="B1" s="202"/>
      <c r="C1" s="270" t="s">
        <v>206</v>
      </c>
      <c r="D1" s="270" t="s">
        <v>207</v>
      </c>
      <c r="E1" s="270" t="s">
        <v>208</v>
      </c>
      <c r="F1" s="270" t="s">
        <v>209</v>
      </c>
      <c r="G1" s="202"/>
      <c r="H1" s="202" t="s">
        <v>210</v>
      </c>
      <c r="I1" s="202" t="s">
        <v>211</v>
      </c>
      <c r="J1" s="202" t="s">
        <v>212</v>
      </c>
    </row>
    <row r="2">
      <c r="H2" s="0" t="s">
        <v>213</v>
      </c>
      <c r="I2" s="0" t="s">
        <v>214</v>
      </c>
      <c r="J2" s="0" t="s">
        <v>215</v>
      </c>
    </row>
    <row r="3">
      <c r="H3" s="0" t="s">
        <v>213</v>
      </c>
      <c r="I3" s="0" t="s">
        <v>216</v>
      </c>
      <c r="J3" s="0" t="s">
        <v>217</v>
      </c>
    </row>
    <row r="4">
      <c r="H4" s="0" t="s">
        <v>213</v>
      </c>
      <c r="I4" s="0" t="s">
        <v>218</v>
      </c>
      <c r="J4" s="0" t="s">
        <v>219</v>
      </c>
    </row>
    <row r="5">
      <c r="H5" s="0" t="s">
        <v>220</v>
      </c>
      <c r="I5" s="0" t="s">
        <v>214</v>
      </c>
      <c r="J5" s="0" t="s">
        <v>215</v>
      </c>
    </row>
    <row r="6">
      <c r="H6" s="0" t="s">
        <v>220</v>
      </c>
      <c r="I6" s="0" t="s">
        <v>216</v>
      </c>
      <c r="J6" s="0" t="s">
        <v>217</v>
      </c>
    </row>
    <row r="7">
      <c r="H7" s="0" t="s">
        <v>220</v>
      </c>
      <c r="I7" s="0" t="s">
        <v>218</v>
      </c>
      <c r="J7" s="0" t="s">
        <v>219</v>
      </c>
    </row>
    <row r="8">
      <c r="H8" s="0" t="s">
        <v>221</v>
      </c>
      <c r="I8" s="0" t="s">
        <v>214</v>
      </c>
      <c r="J8" s="0" t="s">
        <v>215</v>
      </c>
    </row>
    <row r="9">
      <c r="H9" s="0" t="s">
        <v>221</v>
      </c>
      <c r="I9" s="0" t="s">
        <v>216</v>
      </c>
      <c r="J9" s="0" t="s">
        <v>217</v>
      </c>
    </row>
    <row r="10">
      <c r="H10" s="0" t="s">
        <v>221</v>
      </c>
      <c r="I10" s="0" t="s">
        <v>218</v>
      </c>
      <c r="J10" s="0" t="s">
        <v>219</v>
      </c>
    </row>
    <row r="11">
      <c r="H11" s="0" t="s">
        <v>222</v>
      </c>
      <c r="I11" s="0" t="s">
        <v>214</v>
      </c>
      <c r="J11" s="0" t="s">
        <v>215</v>
      </c>
    </row>
    <row r="12">
      <c r="H12" s="0" t="s">
        <v>222</v>
      </c>
      <c r="I12" s="0" t="s">
        <v>216</v>
      </c>
      <c r="J12" s="0" t="s">
        <v>217</v>
      </c>
    </row>
    <row r="13">
      <c r="H13" s="0" t="s">
        <v>222</v>
      </c>
      <c r="I13" s="0" t="s">
        <v>218</v>
      </c>
      <c r="J13" s="0" t="s">
        <v>219</v>
      </c>
    </row>
    <row r="14">
      <c r="H14" s="0" t="s">
        <v>223</v>
      </c>
      <c r="I14" s="0" t="s">
        <v>214</v>
      </c>
      <c r="J14" s="0" t="s">
        <v>224</v>
      </c>
    </row>
    <row r="15">
      <c r="H15" s="0" t="s">
        <v>223</v>
      </c>
      <c r="I15" s="0" t="s">
        <v>216</v>
      </c>
      <c r="J15" s="0" t="s">
        <v>217</v>
      </c>
    </row>
    <row r="16">
      <c r="H16" s="0" t="s">
        <v>223</v>
      </c>
      <c r="I16" s="0" t="s">
        <v>218</v>
      </c>
      <c r="J16" s="0" t="s">
        <v>219</v>
      </c>
    </row>
    <row r="17">
      <c r="H17" s="0" t="s">
        <v>225</v>
      </c>
      <c r="I17" s="0" t="s">
        <v>214</v>
      </c>
      <c r="J17" s="0" t="s">
        <v>226</v>
      </c>
    </row>
    <row r="18">
      <c r="H18" s="0" t="s">
        <v>225</v>
      </c>
      <c r="I18" s="0" t="s">
        <v>216</v>
      </c>
      <c r="J18" s="0" t="s">
        <v>227</v>
      </c>
    </row>
    <row r="19">
      <c r="H19" s="0" t="s">
        <v>225</v>
      </c>
      <c r="I19" s="0" t="s">
        <v>218</v>
      </c>
      <c r="J19" s="0" t="s">
        <v>219</v>
      </c>
    </row>
    <row r="20">
      <c r="H20" s="0" t="s">
        <v>228</v>
      </c>
      <c r="I20" s="0" t="s">
        <v>214</v>
      </c>
      <c r="J20" s="0" t="s">
        <v>226</v>
      </c>
    </row>
    <row r="21">
      <c r="H21" s="0" t="s">
        <v>228</v>
      </c>
      <c r="I21" s="0" t="s">
        <v>216</v>
      </c>
      <c r="J21" s="0" t="s">
        <v>227</v>
      </c>
    </row>
    <row r="22">
      <c r="H22" s="0" t="s">
        <v>228</v>
      </c>
      <c r="I22" s="0" t="s">
        <v>218</v>
      </c>
      <c r="J22" s="0" t="s">
        <v>219</v>
      </c>
    </row>
    <row r="23">
      <c r="H23" s="0" t="s">
        <v>229</v>
      </c>
      <c r="I23" s="0" t="s">
        <v>214</v>
      </c>
      <c r="J23" s="0" t="s">
        <v>226</v>
      </c>
    </row>
    <row r="24">
      <c r="H24" s="0" t="s">
        <v>229</v>
      </c>
      <c r="I24" s="0" t="s">
        <v>216</v>
      </c>
      <c r="J24" s="0" t="s">
        <v>227</v>
      </c>
    </row>
    <row r="25">
      <c r="H25" s="0" t="s">
        <v>229</v>
      </c>
      <c r="I25" s="0" t="s">
        <v>218</v>
      </c>
      <c r="J25" s="0" t="s">
        <v>219</v>
      </c>
    </row>
  </sheetData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/>
  <dimension ref="A1:A17"/>
  <sheetViews>
    <sheetView workbookViewId="0">
      <selection activeCell="A2" sqref="A2"/>
    </sheetView>
  </sheetViews>
  <sheetFormatPr defaultColWidth="9.140625" defaultRowHeight="15"/>
  <cols>
    <col min="1" max="1" width="79.28515625" customWidth="1"/>
  </cols>
  <sheetData>
    <row r="1">
      <c r="A1" s="0" t="s">
        <v>230</v>
      </c>
    </row>
    <row r="2">
      <c r="A2" s="0" t="s">
        <v>231</v>
      </c>
    </row>
    <row r="3">
      <c r="A3" s="0" t="s">
        <v>232</v>
      </c>
    </row>
    <row r="4">
      <c r="A4" s="0" t="s">
        <v>233</v>
      </c>
    </row>
    <row r="5">
      <c r="A5" s="0" t="s">
        <v>234</v>
      </c>
    </row>
    <row r="6">
      <c r="A6" s="0" t="s">
        <v>235</v>
      </c>
    </row>
    <row r="7">
      <c r="A7" s="0" t="s">
        <v>236</v>
      </c>
    </row>
    <row r="8">
      <c r="A8" s="0" t="s">
        <v>237</v>
      </c>
    </row>
    <row r="9">
      <c r="A9" s="0" t="s">
        <v>238</v>
      </c>
    </row>
    <row r="10"/>
    <row r="11">
      <c r="A11" s="0" t="s">
        <v>239</v>
      </c>
    </row>
    <row r="12">
      <c r="A12" s="0" t="s">
        <v>240</v>
      </c>
    </row>
    <row r="13">
      <c r="A13" s="0" t="s">
        <v>241</v>
      </c>
    </row>
    <row r="14">
      <c r="A14" s="0" t="s">
        <v>242</v>
      </c>
    </row>
    <row r="15">
      <c r="A15" s="0" t="s">
        <v>243</v>
      </c>
    </row>
    <row r="16">
      <c r="A16" s="0" t="s">
        <v>244</v>
      </c>
    </row>
    <row r="17"/>
  </sheetData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3" sqref="A3"/>
    </sheetView>
  </sheetViews>
  <sheetFormatPr defaultColWidth="11.42578125" defaultRowHeight="15"/>
  <cols>
    <col min="1" max="1" bestFit="1" width="19.5703125" customWidth="1"/>
    <col min="2" max="2" bestFit="1" width="50.42578125" customWidth="1"/>
    <col min="3" max="3" bestFit="1" width="16.42578125" customWidth="1"/>
    <col min="4" max="8" width="11.42578125" customWidth="1"/>
  </cols>
  <sheetData>
    <row r="1">
      <c r="A1" s="0" t="s">
        <v>250</v>
      </c>
      <c r="B1" s="0" t="s">
        <v>251</v>
      </c>
      <c r="C1" s="0" t="s">
        <v>146</v>
      </c>
    </row>
    <row r="2">
      <c r="A2" s="0" t="s">
        <v>39</v>
      </c>
      <c r="B2" s="0" t="s">
        <v>39</v>
      </c>
      <c r="C2" s="0" t="s">
        <v>252</v>
      </c>
    </row>
    <row r="4">
      <c r="G4" s="43"/>
    </row>
    <row r="416">
      <c r="A416" s="135"/>
      <c r="B416" s="135"/>
      <c r="C416" s="135"/>
    </row>
    <row r="438">
      <c r="A438" s="135"/>
      <c r="B438" s="135"/>
      <c r="C438" s="135"/>
    </row>
    <row r="441">
      <c r="A441" s="135"/>
      <c r="B441" s="135"/>
      <c r="C441" s="135"/>
    </row>
    <row r="456">
      <c r="A456" s="135"/>
      <c r="B456" s="135"/>
      <c r="C456" s="135"/>
    </row>
    <row r="478">
      <c r="A478" s="135"/>
      <c r="B478" s="135"/>
      <c r="C478" s="135"/>
    </row>
    <row r="481">
      <c r="A481" s="135"/>
      <c r="B481" s="135"/>
      <c r="C481" s="135"/>
    </row>
    <row r="494">
      <c r="A494" s="55"/>
      <c r="B494" s="55"/>
      <c r="C494" s="55"/>
    </row>
    <row r="495">
      <c r="A495" s="55"/>
      <c r="B495" s="55"/>
      <c r="C495" s="55"/>
    </row>
    <row r="496">
      <c r="A496" s="55"/>
      <c r="B496" s="55"/>
      <c r="C496" s="55"/>
    </row>
    <row r="497">
      <c r="A497" s="55"/>
      <c r="B497" s="55"/>
      <c r="C497" s="55"/>
    </row>
    <row r="498">
      <c r="A498" s="55"/>
      <c r="B498" s="55"/>
      <c r="C498" s="55"/>
    </row>
    <row r="499">
      <c r="A499" s="55"/>
      <c r="B499" s="55"/>
      <c r="C499" s="55"/>
    </row>
    <row r="500">
      <c r="A500" s="55"/>
      <c r="B500" s="55"/>
      <c r="C500" s="55"/>
    </row>
    <row r="501">
      <c r="A501" s="55"/>
      <c r="B501" s="55"/>
      <c r="C501" s="55"/>
    </row>
    <row r="502">
      <c r="A502" s="55"/>
      <c r="B502" s="55"/>
      <c r="C502" s="55"/>
    </row>
    <row r="503">
      <c r="A503" s="55"/>
      <c r="B503" s="55"/>
      <c r="C503" s="55"/>
    </row>
    <row r="504">
      <c r="A504" s="135"/>
      <c r="B504" s="135"/>
      <c r="C504" s="135"/>
    </row>
    <row r="505">
      <c r="A505" s="135"/>
      <c r="B505" s="135"/>
      <c r="C505" s="135"/>
    </row>
    <row r="506">
      <c r="A506" s="135"/>
      <c r="B506" s="135"/>
      <c r="C506" s="135"/>
    </row>
    <row r="507">
      <c r="A507" s="135"/>
      <c r="B507" s="135"/>
      <c r="C507" s="135"/>
    </row>
    <row r="508">
      <c r="A508" s="135"/>
      <c r="B508" s="135"/>
      <c r="C508" s="135"/>
    </row>
    <row r="509">
      <c r="A509" s="135"/>
      <c r="B509" s="135"/>
      <c r="C509" s="135"/>
    </row>
    <row r="512">
      <c r="C512" s="135"/>
    </row>
  </sheetData>
  <pageMargins left="0.7" right="0.7" top="0.75" bottom="0.75" header="0.3" footer="0.3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0"/>
  </sheetPr>
  <dimension ref="A1:E1"/>
  <sheetViews>
    <sheetView workbookViewId="0">
      <selection sqref="A1:XFD2"/>
    </sheetView>
  </sheetViews>
  <sheetFormatPr defaultColWidth="11.42578125" defaultRowHeight="15"/>
  <cols>
    <col min="1" max="1" bestFit="1" width="21.85546875" customWidth="1" style="145"/>
    <col min="2" max="2" bestFit="1" width="97.85546875" customWidth="1"/>
    <col min="3" max="3" bestFit="1" width="14" customWidth="1"/>
    <col min="4" max="4" bestFit="1" width="38.140625" customWidth="1"/>
  </cols>
  <sheetData>
    <row r="1">
      <c r="A1" s="145" t="s">
        <v>245</v>
      </c>
      <c r="B1" s="0" t="s">
        <v>246</v>
      </c>
      <c r="C1" s="0" t="s">
        <v>247</v>
      </c>
      <c r="D1" s="0" t="s">
        <v>248</v>
      </c>
      <c r="E1" s="0" t="s">
        <v>249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9</vt:i4>
      </vt:variant>
    </vt:vector>
  </HeadingPairs>
  <TitlesOfParts>
    <vt:vector size="41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AFFICHAGE-2</vt:lpstr>
      <vt:lpstr>IMPORT</vt:lpstr>
      <vt:lpstr>COLLEGE</vt:lpstr>
      <vt:lpstr>Erreurs</vt:lpstr>
      <vt:lpstr>Démographie!Print_Area</vt:lpstr>
      <vt:lpstr>'Evolution effectifs'!Print_Area</vt:lpstr>
      <vt:lpstr>'Page de garde'!Print_Area</vt:lpstr>
      <vt:lpstr>'Prestations Réglées'!Print_Area</vt:lpstr>
      <vt:lpstr>'Prestations Réglées Graph'!Print_Area</vt:lpstr>
      <vt:lpstr>'Quartil garantie_1'!Print_Area</vt:lpstr>
      <vt:lpstr>'Quartil garantie_2'!Print_Area</vt:lpstr>
      <vt:lpstr>'Quartil garantie_3'!Print_Area</vt:lpstr>
      <vt:lpstr>Résultats!Print_Area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Robert</cp:lastModifiedBy>
  <cp:lastPrinted>2022-09-21T10:28:00Z</cp:lastPrinted>
  <dcterms:created xsi:type="dcterms:W3CDTF">2017-05-24T08:26:58Z</dcterms:created>
  <dcterms:modified xsi:type="dcterms:W3CDTF">2023-08-21T15:06:12Z</dcterms:modified>
</cp:coreProperties>
</file>