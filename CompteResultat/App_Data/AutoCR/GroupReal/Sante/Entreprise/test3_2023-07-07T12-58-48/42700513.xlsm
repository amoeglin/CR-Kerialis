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theme/themeOverride6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theme/themeOverride7.xml" ContentType="application/vnd.openxmlformats-officedocument.themeOverrid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_ROBERT\_IT\Projects\zzzCM\CR-Kerialis\CompteResultat\App_Data\AutoCR\GroupReal\Sante\Entreprise\test3_2023-07-07T12-58-48\"/>
    </mc:Choice>
  </mc:AlternateContent>
  <bookViews>
    <workbookView xWindow="-120" yWindow="-120" windowWidth="25440" windowHeight="15390" firstSheet="21" activeTab="27"/>
  </bookViews>
  <sheets>
    <sheet name="Page de garde" sheetId="13" r:id="rId1"/>
    <sheet name="CONTROLE" sheetId="240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341" r:id="rId8"/>
    <sheet name="AUTRE" sheetId="342" r:id="rId9"/>
    <sheet name="CURE" sheetId="343" r:id="rId10"/>
    <sheet name="DENTA" sheetId="344" r:id="rId11"/>
    <sheet name="HOSPI" sheetId="345" r:id="rId12"/>
    <sheet name="OBSEQ" sheetId="346" r:id="rId13"/>
    <sheet name="OPTIQ" sheetId="347" r:id="rId14"/>
    <sheet name="PREVE" sheetId="348" r:id="rId15"/>
    <sheet name="SOINS" sheetId="349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IMPORT" sheetId="231" r:id="rId29"/>
    <sheet name="COLLEGE" sheetId="26" r:id="rId30"/>
    <sheet name="Erreurs" sheetId="36" r:id="rId31"/>
  </sheets>
  <externalReferences>
    <externalReference r:id="rId32"/>
  </externalReferences>
  <definedNames>
    <definedName name="_xlnm._FilterDatabase" localSheetId="24" hidden="1">'DATA EXP'!$A$1:$Q$1</definedName>
    <definedName name="_xlnm._FilterDatabase" localSheetId="23" hidden="1">'DATA PREST'!$A$1:$R$1</definedName>
    <definedName name="_xlnm.Print_Area" localSheetId="4">Démographie!$A$1:$R$48</definedName>
    <definedName name="_xlnm.Print_Area" localSheetId="3">'Evolution effectifs'!$A$1:$M$34</definedName>
    <definedName name="_xlnm.Print_Area" localSheetId="0">'Page de garde'!$A$1:$T$42</definedName>
    <definedName name="_xlnm.Print_Area" localSheetId="5">'Prestations Réglées'!$A$1:$S$75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Print_Area" localSheetId="2">Résultats!$A$1:$T$39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5" i="45" l="1"/>
  <c r="W25" i="45"/>
  <c r="Z24" i="45"/>
  <c r="W24" i="45"/>
  <c r="Z23" i="45"/>
  <c r="W23" i="45"/>
  <c r="Z22" i="45"/>
  <c r="W22" i="45"/>
  <c r="AA21" i="45"/>
  <c r="AA22" i="45" s="1"/>
  <c r="AA23" i="45" s="1"/>
  <c r="AA24" i="45" s="1"/>
  <c r="AA25" i="45" s="1"/>
  <c r="Z21" i="45"/>
  <c r="W21" i="45"/>
  <c r="AA20" i="45"/>
  <c r="Z20" i="45"/>
  <c r="X20" i="45"/>
  <c r="X21" i="45" s="1"/>
  <c r="X22" i="45" s="1"/>
  <c r="X23" i="45" s="1"/>
  <c r="X24" i="45" s="1"/>
  <c r="X25" i="45" s="1"/>
  <c r="W20" i="45"/>
  <c r="V18" i="45"/>
  <c r="C8" i="45"/>
  <c r="Z25" i="41"/>
  <c r="W25" i="41"/>
  <c r="Z24" i="41"/>
  <c r="W24" i="41"/>
  <c r="Z23" i="41"/>
  <c r="W23" i="41"/>
  <c r="AA22" i="41"/>
  <c r="AA23" i="41" s="1"/>
  <c r="AA24" i="41" s="1"/>
  <c r="AA25" i="41" s="1"/>
  <c r="Z22" i="41"/>
  <c r="X22" i="41"/>
  <c r="X23" i="41" s="1"/>
  <c r="X24" i="41" s="1"/>
  <c r="X25" i="41" s="1"/>
  <c r="W22" i="41"/>
  <c r="AA21" i="41"/>
  <c r="Z21" i="41"/>
  <c r="X21" i="41"/>
  <c r="W21" i="41"/>
  <c r="AA20" i="41"/>
  <c r="Z20" i="41"/>
  <c r="X20" i="41"/>
  <c r="W20" i="41"/>
  <c r="V18" i="41"/>
  <c r="C8" i="41"/>
  <c r="Z25" i="46"/>
  <c r="W25" i="46"/>
  <c r="Z24" i="46"/>
  <c r="W24" i="46"/>
  <c r="Z23" i="46"/>
  <c r="W23" i="46"/>
  <c r="AA22" i="46"/>
  <c r="AA23" i="46" s="1"/>
  <c r="AA24" i="46" s="1"/>
  <c r="AA25" i="46" s="1"/>
  <c r="Z22" i="46"/>
  <c r="W22" i="46"/>
  <c r="AA21" i="46"/>
  <c r="Z21" i="46"/>
  <c r="W21" i="46"/>
  <c r="AA20" i="46"/>
  <c r="Z20" i="46"/>
  <c r="X20" i="46"/>
  <c r="X21" i="46" s="1"/>
  <c r="X22" i="46" s="1"/>
  <c r="X23" i="46" s="1"/>
  <c r="X24" i="46" s="1"/>
  <c r="X25" i="46" s="1"/>
  <c r="W20" i="46"/>
  <c r="V18" i="46"/>
  <c r="C8" i="46"/>
  <c r="C8" i="47"/>
  <c r="C8" i="40"/>
  <c r="C8" i="349"/>
  <c r="C8" i="348"/>
  <c r="C8" i="347"/>
  <c r="C8" i="346"/>
  <c r="C8" i="345"/>
  <c r="C8" i="344"/>
  <c r="C8" i="343"/>
  <c r="C8" i="342"/>
  <c r="C8" i="341"/>
  <c r="C8" i="31"/>
  <c r="C8" i="21"/>
  <c r="E42" i="18"/>
  <c r="C8" i="18"/>
  <c r="C8" i="16"/>
  <c r="E13" i="14"/>
  <c r="C8" i="14"/>
  <c r="D24" i="13"/>
</calcChain>
</file>

<file path=xl/sharedStrings.xml><?xml version="1.0" encoding="utf-8"?>
<sst xmlns="http://schemas.openxmlformats.org/spreadsheetml/2006/main" count="1029" uniqueCount="307">
  <si>
    <t>MAJ EXCEL</t>
  </si>
  <si>
    <t>MAJ POWERPOINT</t>
  </si>
  <si>
    <t>OUI</t>
  </si>
  <si>
    <t>NON</t>
  </si>
  <si>
    <t>STATISTIQUES</t>
  </si>
  <si>
    <t>FRAIS DE SANTE</t>
  </si>
  <si>
    <t>Contrat(s)</t>
  </si>
  <si>
    <t/>
  </si>
  <si>
    <t>ESSENTIELLE_</t>
  </si>
  <si>
    <t>Collège</t>
  </si>
  <si>
    <t>Ens Pers</t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</si>
  <si>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</si>
  <si>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</si>
  <si>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</si>
  <si>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</si>
  <si>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</si>
  <si>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</si>
  <si>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</si>
  <si>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</si>
  <si>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</si>
  <si>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</si>
  <si>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</si>
  <si>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</si>
  <si>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</si>
  <si>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2021</t>
  </si>
  <si>
    <t>2,43</t>
  </si>
  <si>
    <t>0</t>
  </si>
  <si>
    <t>∞</t>
  </si>
  <si>
    <t>-2,43</t>
  </si>
  <si>
    <t xml:space="preserve">Date d'arrêté : 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</si>
  <si>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</si>
  <si>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</si>
  <si>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</si>
  <si>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</si>
  <si>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</si>
  <si>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</si>
  <si>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</si>
  <si>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</si>
  <si>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</si>
  <si>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</si>
  <si>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</si>
  <si>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</si>
  <si>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</si>
  <si>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</si>
  <si>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</si>
  <si>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</si>
  <si>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</si>
  <si>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</si>
  <si>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</si>
  <si>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</si>
  <si>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</si>
  <si>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</si>
  <si>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</si>
  <si>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</si>
  <si>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</si>
  <si>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</si>
  <si>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</si>
  <si>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</si>
  <si>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</si>
  <si>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</si>
  <si>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</si>
  <si>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</si>
  <si>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</si>
  <si>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</si>
  <si>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</si>
  <si>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</si>
  <si>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</si>
  <si>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</si>
  <si>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</si>
  <si>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</si>
  <si>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</si>
  <si>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</si>
  <si>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</si>
  <si>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 année 2021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</si>
  <si>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</si>
  <si>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</si>
  <si>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</si>
  <si>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</si>
  <si>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</si>
  <si>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</si>
  <si>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</si>
  <si>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</si>
  <si>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</si>
  <si>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</si>
  <si>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</si>
  <si>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</si>
  <si>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</si>
  <si>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</si>
  <si>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</si>
  <si>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PROTHESES AUDITIVES</t>
  </si>
  <si>
    <t>AUTRE</t>
  </si>
  <si>
    <t>DIVERS</t>
  </si>
  <si>
    <t>HORS NOMENCLATURE</t>
  </si>
  <si>
    <t>NON RENSEIGNE</t>
  </si>
  <si>
    <t>RÉSEAU ITELIS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</si>
  <si>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</si>
  <si>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</si>
  <si>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</si>
  <si>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</si>
  <si>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</si>
  <si>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</si>
  <si>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</si>
  <si>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</si>
  <si>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</si>
  <si>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</si>
  <si>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</si>
  <si>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</si>
  <si>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</si>
  <si>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</si>
  <si>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</si>
  <si>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</si>
  <si>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</si>
  <si>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</si>
  <si>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</si>
  <si>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</si>
  <si>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OBSEQ</t>
  </si>
  <si>
    <t>ALLOCATION OBSEQUES</t>
  </si>
  <si>
    <t>OPTIQ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</si>
  <si>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</si>
  <si>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</si>
  <si>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</si>
  <si>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</si>
  <si>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</si>
  <si>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</si>
  <si>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</si>
  <si>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</si>
  <si>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</si>
  <si>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</si>
  <si>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</si>
  <si>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</si>
  <si>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</si>
  <si>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</si>
  <si>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</si>
  <si>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</si>
  <si>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</si>
  <si>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</si>
  <si>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</si>
  <si>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</si>
  <si>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</si>
  <si>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</si>
  <si>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</si>
  <si>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</si>
  <si>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</si>
  <si>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</si>
  <si>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</si>
  <si>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</si>
  <si>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</si>
  <si>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</si>
  <si>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</si>
  <si>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</si>
  <si>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</si>
  <si>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</si>
  <si>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</si>
  <si>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</si>
  <si>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</si>
  <si>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</si>
  <si>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</si>
  <si>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</si>
  <si>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</si>
  <si>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</si>
  <si>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</si>
  <si>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</si>
  <si>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</si>
  <si>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</si>
  <si>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</si>
  <si>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</si>
  <si>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</si>
  <si>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</si>
  <si>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</si>
  <si>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</si>
  <si>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</si>
  <si>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</si>
  <si>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</si>
  <si>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</si>
  <si>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</si>
  <si>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</si>
  <si>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</si>
  <si>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</si>
  <si>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</si>
  <si>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</si>
  <si>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</si>
  <si>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</si>
  <si>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</si>
  <si>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</si>
  <si>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</si>
  <si>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</si>
  <si>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</si>
  <si>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</si>
  <si>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</si>
  <si>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</si>
  <si>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</si>
  <si>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</si>
  <si>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</si>
  <si>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</si>
  <si>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</si>
  <si>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</si>
  <si>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</si>
  <si>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</si>
  <si>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</si>
  <si>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</si>
  <si>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</si>
  <si>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</si>
  <si>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</si>
  <si>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</si>
  <si>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</si>
  <si>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</si>
  <si>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ESSENTIELLE</t>
  </si>
  <si>
    <t>FAUX</t>
  </si>
  <si>
    <t>VRAI</t>
  </si>
  <si>
    <t>CONFORT</t>
  </si>
  <si>
    <t>PRODUIT_P1</t>
  </si>
  <si>
    <t>PRODUIT_P2</t>
  </si>
  <si>
    <t>PRODUIT_P1_</t>
  </si>
  <si>
    <t>PRODUIT_P2_</t>
  </si>
  <si>
    <t>CONFORT_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</si>
  <si>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</si>
  <si>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</si>
  <si>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</si>
  <si>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</si>
  <si>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</si>
  <si>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</si>
  <si>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</si>
  <si>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</si>
  <si>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</si>
  <si>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</si>
  <si>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</si>
  <si>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</si>
  <si>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</si>
  <si>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</si>
  <si>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</si>
  <si>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</si>
  <si>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</si>
  <si>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</si>
  <si>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</si>
  <si>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</si>
  <si>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</si>
  <si>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</si>
  <si>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</si>
  <si>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</si>
  <si>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</si>
  <si>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</si>
  <si>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</si>
  <si>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</si>
  <si>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</si>
  <si>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</si>
  <si>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</si>
  <si>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</si>
  <si>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</si>
  <si>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</si>
  <si>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</si>
  <si>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</si>
  <si>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</si>
  <si>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</si>
  <si>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</si>
  <si>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</si>
  <si>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</si>
  <si>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</si>
  <si>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</si>
  <si>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</si>
  <si>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</si>
  <si>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</si>
  <si>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>ACTES DE CHIRUR  CETIP</t>
  </si>
  <si>
    <t>FRAIS D'ACCOMPAGNEMENT</t>
  </si>
  <si>
    <t>HOSPITALISATION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</si>
  <si>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</si>
  <si>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</si>
  <si>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</si>
  <si>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</si>
  <si>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</si>
  <si>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</si>
  <si>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</si>
  <si>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</si>
  <si>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</si>
  <si>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</si>
  <si>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</si>
  <si>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</si>
  <si>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</si>
  <si>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</si>
  <si>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</si>
  <si>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</si>
  <si>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</si>
  <si>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</si>
  <si>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</si>
  <si>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</si>
  <si>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</si>
  <si>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</si>
  <si>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</si>
  <si>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</si>
  <si>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SOINS COURANTS</t>
  </si>
  <si>
    <t>DATE DEBUT</t>
  </si>
  <si>
    <t>DATE FIN</t>
  </si>
  <si>
    <t>DATE D'ARRETE</t>
  </si>
  <si>
    <t>Comptable/Survenance</t>
  </si>
  <si>
    <t>SANTE_2ANS</t>
  </si>
  <si>
    <t>KERIALIS_ENTREPRISE</t>
  </si>
  <si>
    <t>01/01/2020</t>
  </si>
  <si>
    <t>31/12/2021</t>
  </si>
  <si>
    <t>Survenance</t>
  </si>
  <si>
    <t>FICHIERS D'IMPORT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</si>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</sst>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4" formatCode="#,##0.00\ _€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65">
    <xf numFmtId="0" fontId="0" fillId="0" borderId="0" xfId="0" applyNumberFormat="1" applyFont="1" applyFill="1" applyBorder="1"/>
    <xf numFmtId="0" fontId="3" fillId="0" borderId="0" xfId="4" applyNumberFormat="1" applyFont="1" applyFill="1" applyBorder="1"/>
    <xf numFmtId="0" fontId="0" fillId="0" borderId="6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4" fillId="2" borderId="0" xfId="7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4" applyNumberFormat="1" applyFont="1" applyFill="1" applyBorder="1" applyAlignment="1">
      <alignment horizontal="center" vertical="center"/>
    </xf>
    <xf numFmtId="0" fontId="6" fillId="2" borderId="0" xfId="7" applyNumberFormat="1" applyFont="1" applyFill="1" applyBorder="1" applyAlignment="1">
      <alignment vertical="center"/>
    </xf>
    <xf numFmtId="9" fontId="6" fillId="2" borderId="0" xfId="9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7" applyNumberFormat="1" applyFont="1" applyFill="1" applyBorder="1" applyAlignment="1">
      <alignment vertical="center" wrapText="1"/>
    </xf>
    <xf numFmtId="0" fontId="9" fillId="0" borderId="0" xfId="4" applyNumberFormat="1" applyFont="1" applyFill="1" applyBorder="1"/>
    <xf numFmtId="0" fontId="9" fillId="0" borderId="0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 vertical="center"/>
    </xf>
    <xf numFmtId="0" fontId="10" fillId="3" borderId="21" xfId="4" applyNumberFormat="1" applyFont="1" applyFill="1" applyBorder="1" applyAlignment="1">
      <alignment horizontal="center" vertical="center"/>
    </xf>
    <xf numFmtId="0" fontId="11" fillId="4" borderId="14" xfId="4" applyNumberFormat="1" applyFont="1" applyFill="1" applyBorder="1" applyAlignment="1">
      <alignment horizontal="center" vertical="center" wrapText="1"/>
    </xf>
    <xf numFmtId="0" fontId="9" fillId="0" borderId="16" xfId="4" applyNumberFormat="1" applyFont="1" applyFill="1" applyBorder="1" applyAlignment="1">
      <alignment horizontal="center" vertical="center"/>
    </xf>
    <xf numFmtId="1" fontId="9" fillId="0" borderId="17" xfId="4" applyNumberFormat="1" applyFont="1" applyFill="1" applyBorder="1" applyAlignment="1">
      <alignment horizontal="center" vertical="center"/>
    </xf>
    <xf numFmtId="0" fontId="10" fillId="3" borderId="24" xfId="4" applyNumberFormat="1" applyFont="1" applyFill="1" applyBorder="1" applyAlignment="1">
      <alignment horizontal="center" vertical="center"/>
    </xf>
    <xf numFmtId="1" fontId="10" fillId="3" borderId="25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/>
    </xf>
    <xf numFmtId="1" fontId="9" fillId="0" borderId="15" xfId="4" applyNumberFormat="1" applyFont="1" applyFill="1" applyBorder="1" applyAlignment="1">
      <alignment horizontal="center"/>
    </xf>
    <xf numFmtId="0" fontId="9" fillId="0" borderId="28" xfId="4" applyNumberFormat="1" applyFont="1" applyFill="1" applyBorder="1" applyAlignment="1">
      <alignment horizontal="center"/>
    </xf>
    <xf numFmtId="1" fontId="9" fillId="0" borderId="28" xfId="4" applyNumberFormat="1" applyFont="1" applyFill="1" applyBorder="1" applyAlignment="1">
      <alignment horizontal="center"/>
    </xf>
    <xf numFmtId="0" fontId="9" fillId="0" borderId="2" xfId="4" applyNumberFormat="1" applyFont="1" applyFill="1" applyBorder="1" applyAlignment="1">
      <alignment horizontal="center"/>
    </xf>
    <xf numFmtId="1" fontId="11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9" fillId="5" borderId="17" xfId="9" applyNumberFormat="1" applyFont="1" applyFill="1" applyBorder="1" applyAlignment="1">
      <alignment horizontal="center" vertical="center"/>
    </xf>
    <xf numFmtId="1" fontId="10" fillId="3" borderId="25" xfId="9" applyNumberFormat="1" applyFont="1" applyFill="1" applyBorder="1" applyAlignment="1">
      <alignment horizontal="center" vertical="center"/>
    </xf>
    <xf numFmtId="0" fontId="11" fillId="4" borderId="18" xfId="4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4" applyNumberFormat="1" applyFont="1" applyFill="1" applyBorder="1"/>
    <xf numFmtId="1" fontId="0" fillId="0" borderId="0" xfId="0" applyNumberFormat="1" applyFont="1" applyFill="1" applyBorder="1"/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7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center" vertical="center"/>
    </xf>
    <xf numFmtId="166" fontId="5" fillId="0" borderId="2" xfId="4" applyNumberFormat="1" applyFont="1" applyFill="1" applyBorder="1" applyAlignment="1">
      <alignment horizontal="center" vertical="center"/>
    </xf>
    <xf numFmtId="166" fontId="4" fillId="2" borderId="0" xfId="7" applyNumberFormat="1" applyFont="1" applyFill="1" applyBorder="1"/>
    <xf numFmtId="166" fontId="4" fillId="2" borderId="0" xfId="7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0" fontId="18" fillId="0" borderId="0" xfId="0" applyNumberFormat="1" applyFont="1" applyFill="1" applyBorder="1"/>
    <xf numFmtId="0" fontId="19" fillId="2" borderId="0" xfId="4" applyNumberFormat="1" applyFont="1" applyFill="1" applyBorder="1" applyAlignment="1">
      <alignment horizontal="center" vertical="center"/>
    </xf>
    <xf numFmtId="9" fontId="5" fillId="0" borderId="0" xfId="9" applyNumberFormat="1" applyFont="1" applyFill="1" applyBorder="1" applyAlignment="1">
      <alignment horizontal="center" vertical="center"/>
    </xf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2" fontId="0" fillId="0" borderId="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4" applyNumberFormat="1" applyFont="1" applyFill="1" applyBorder="1" applyAlignment="1">
      <alignment horizontal="right" vertical="center"/>
    </xf>
    <xf numFmtId="9" fontId="17" fillId="5" borderId="46" xfId="4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7" fillId="0" borderId="0" xfId="4" applyNumberFormat="1" applyFont="1" applyFill="1" applyBorder="1"/>
    <xf numFmtId="0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6" fillId="2" borderId="0" xfId="0" applyNumberFormat="1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/>
    <xf numFmtId="0" fontId="31" fillId="0" borderId="3" xfId="0" applyNumberFormat="1" applyFont="1" applyFill="1" applyBorder="1"/>
    <xf numFmtId="0" fontId="31" fillId="0" borderId="4" xfId="0" applyNumberFormat="1" applyFont="1" applyFill="1" applyBorder="1"/>
    <xf numFmtId="0" fontId="31" fillId="0" borderId="5" xfId="0" applyNumberFormat="1" applyFont="1" applyFill="1" applyBorder="1"/>
    <xf numFmtId="0" fontId="31" fillId="0" borderId="6" xfId="0" applyNumberFormat="1" applyFont="1" applyFill="1" applyBorder="1"/>
    <xf numFmtId="0" fontId="31" fillId="0" borderId="7" xfId="0" applyNumberFormat="1" applyFont="1" applyFill="1" applyBorder="1"/>
    <xf numFmtId="0" fontId="32" fillId="0" borderId="0" xfId="8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1" fillId="0" borderId="6" xfId="0" applyNumberFormat="1" applyFont="1" applyFill="1" applyBorder="1" applyAlignment="1">
      <alignment wrapText="1"/>
    </xf>
    <xf numFmtId="0" fontId="31" fillId="0" borderId="7" xfId="0" applyNumberFormat="1" applyFont="1" applyFill="1" applyBorder="1" applyAlignment="1">
      <alignment wrapText="1"/>
    </xf>
    <xf numFmtId="0" fontId="33" fillId="0" borderId="6" xfId="0" applyNumberFormat="1" applyFont="1" applyFill="1" applyBorder="1"/>
    <xf numFmtId="0" fontId="33" fillId="0" borderId="0" xfId="0" applyNumberFormat="1" applyFont="1" applyFill="1" applyBorder="1" applyAlignment="1">
      <alignment horizontal="left" vertical="center"/>
    </xf>
    <xf numFmtId="0" fontId="34" fillId="0" borderId="0" xfId="8" applyNumberFormat="1" applyFont="1" applyFill="1" applyBorder="1" applyAlignment="1">
      <alignment horizontal="left" vertical="center"/>
    </xf>
    <xf numFmtId="0" fontId="33" fillId="0" borderId="7" xfId="0" applyNumberFormat="1" applyFont="1" applyFill="1" applyBorder="1"/>
    <xf numFmtId="0" fontId="33" fillId="0" borderId="0" xfId="0" applyNumberFormat="1" applyFont="1" applyFill="1" applyBorder="1" applyAlignment="1">
      <alignment vertical="center" wrapText="1"/>
    </xf>
    <xf numFmtId="0" fontId="35" fillId="0" borderId="0" xfId="8" applyNumberFormat="1" applyFont="1" applyFill="1" applyBorder="1" applyAlignment="1">
      <alignment horizontal="left" vertical="center"/>
    </xf>
    <xf numFmtId="0" fontId="36" fillId="0" borderId="0" xfId="8" applyNumberFormat="1" applyFont="1" applyFill="1" applyBorder="1" applyAlignment="1">
      <alignment horizontal="left" vertical="center"/>
    </xf>
    <xf numFmtId="0" fontId="37" fillId="0" borderId="0" xfId="8" applyNumberFormat="1" applyFont="1" applyFill="1" applyBorder="1" applyAlignment="1">
      <alignment horizontal="left" vertical="center"/>
    </xf>
    <xf numFmtId="0" fontId="38" fillId="0" borderId="0" xfId="8" applyNumberFormat="1" applyFont="1" applyFill="1" applyBorder="1" applyAlignment="1">
      <alignment horizontal="center"/>
    </xf>
    <xf numFmtId="0" fontId="31" fillId="0" borderId="8" xfId="0" applyNumberFormat="1" applyFont="1" applyFill="1" applyBorder="1"/>
    <xf numFmtId="0" fontId="31" fillId="0" borderId="9" xfId="0" applyNumberFormat="1" applyFont="1" applyFill="1" applyBorder="1"/>
    <xf numFmtId="0" fontId="31" fillId="0" borderId="10" xfId="0" applyNumberFormat="1" applyFont="1" applyFill="1" applyBorder="1"/>
    <xf numFmtId="0" fontId="39" fillId="0" borderId="0" xfId="7" quotePrefix="1" applyNumberFormat="1" applyFont="1" applyFill="1" applyBorder="1"/>
    <xf numFmtId="0" fontId="39" fillId="0" borderId="0" xfId="7" applyNumberFormat="1" applyFont="1" applyFill="1" applyBorder="1"/>
    <xf numFmtId="14" fontId="39" fillId="0" borderId="0" xfId="7" applyNumberFormat="1" applyFont="1" applyFill="1" applyBorder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NumberFormat="1" applyFont="1" applyFill="1" applyBorder="1" applyAlignment="1">
      <alignment horizontal="center" vertical="center" wrapText="1"/>
    </xf>
    <xf numFmtId="0" fontId="6" fillId="8" borderId="1" xfId="4" applyNumberFormat="1" applyFont="1" applyFill="1" applyBorder="1" applyAlignment="1">
      <alignment horizontal="center" vertical="center"/>
    </xf>
    <xf numFmtId="0" fontId="6" fillId="8" borderId="0" xfId="4" applyNumberFormat="1" applyFont="1" applyFill="1" applyBorder="1" applyAlignment="1">
      <alignment horizontal="center" vertical="center"/>
    </xf>
    <xf numFmtId="0" fontId="40" fillId="2" borderId="0" xfId="4" applyNumberFormat="1" applyFont="1" applyFill="1" applyBorder="1" applyAlignment="1">
      <alignment horizontal="center" vertical="center"/>
    </xf>
    <xf numFmtId="0" fontId="13" fillId="2" borderId="0" xfId="7" applyNumberFormat="1" applyFont="1" applyFill="1" applyBorder="1"/>
    <xf numFmtId="0" fontId="41" fillId="2" borderId="0" xfId="7" applyNumberFormat="1" applyFont="1" applyFill="1" applyBorder="1"/>
    <xf numFmtId="0" fontId="39" fillId="0" borderId="0" xfId="0" applyNumberFormat="1" applyFont="1" applyFill="1" applyBorder="1" applyAlignment="1">
      <alignment horizontal="left" vertical="center"/>
    </xf>
    <xf numFmtId="0" fontId="39" fillId="2" borderId="0" xfId="7" applyNumberFormat="1" applyFont="1" applyFill="1" applyBorder="1"/>
    <xf numFmtId="166" fontId="39" fillId="2" borderId="0" xfId="7" applyNumberFormat="1" applyFont="1" applyFill="1" applyBorder="1"/>
    <xf numFmtId="166" fontId="39" fillId="2" borderId="0" xfId="7" applyNumberFormat="1" applyFont="1" applyFill="1" applyBorder="1" applyAlignment="1">
      <alignment horizontal="center"/>
    </xf>
    <xf numFmtId="0" fontId="42" fillId="2" borderId="0" xfId="7" applyNumberFormat="1" applyFont="1" applyFill="1" applyBorder="1" applyAlignment="1">
      <alignment vertical="center"/>
    </xf>
    <xf numFmtId="9" fontId="42" fillId="2" borderId="0" xfId="9" applyNumberFormat="1" applyFont="1" applyFill="1" applyBorder="1" applyAlignment="1">
      <alignment horizontal="center" vertical="center" wrapText="1"/>
    </xf>
    <xf numFmtId="0" fontId="43" fillId="0" borderId="0" xfId="0" applyNumberFormat="1" applyFont="1" applyFill="1" applyBorder="1"/>
    <xf numFmtId="0" fontId="44" fillId="0" borderId="0" xfId="4" applyNumberFormat="1" applyFont="1" applyFill="1" applyBorder="1"/>
    <xf numFmtId="0" fontId="41" fillId="0" borderId="0" xfId="4" applyNumberFormat="1" applyFont="1" applyFill="1" applyBorder="1"/>
    <xf numFmtId="0" fontId="11" fillId="8" borderId="26" xfId="4" applyNumberFormat="1" applyFont="1" applyFill="1" applyBorder="1" applyAlignment="1">
      <alignment horizontal="center" vertical="center"/>
    </xf>
    <xf numFmtId="0" fontId="11" fillId="8" borderId="27" xfId="4" applyNumberFormat="1" applyFont="1" applyFill="1" applyBorder="1" applyAlignment="1">
      <alignment horizontal="center" vertical="center" wrapText="1"/>
    </xf>
    <xf numFmtId="0" fontId="41" fillId="0" borderId="15" xfId="4" applyNumberFormat="1" applyFont="1" applyFill="1" applyBorder="1"/>
    <xf numFmtId="0" fontId="41" fillId="0" borderId="39" xfId="4" applyNumberFormat="1" applyFont="1" applyFill="1" applyBorder="1"/>
    <xf numFmtId="0" fontId="41" fillId="0" borderId="20" xfId="4" applyNumberFormat="1" applyFont="1" applyFill="1" applyBorder="1"/>
    <xf numFmtId="0" fontId="41" fillId="0" borderId="29" xfId="4" applyNumberFormat="1" applyFont="1" applyFill="1" applyBorder="1"/>
    <xf numFmtId="2" fontId="10" fillId="8" borderId="2" xfId="4" applyNumberFormat="1" applyFont="1" applyFill="1" applyBorder="1" applyAlignment="1">
      <alignment horizontal="center"/>
    </xf>
    <xf numFmtId="0" fontId="16" fillId="8" borderId="46" xfId="4" applyNumberFormat="1" applyFont="1" applyFill="1" applyBorder="1" applyAlignment="1">
      <alignment horizontal="center" vertical="center" wrapText="1"/>
    </xf>
    <xf numFmtId="0" fontId="16" fillId="8" borderId="43" xfId="4" applyNumberFormat="1" applyFont="1" applyFill="1" applyBorder="1" applyAlignment="1">
      <alignment horizontal="center" vertical="center" wrapText="1"/>
    </xf>
    <xf numFmtId="0" fontId="16" fillId="8" borderId="44" xfId="4" applyNumberFormat="1" applyFont="1" applyFill="1" applyBorder="1" applyAlignment="1">
      <alignment horizontal="center" vertical="center" wrapText="1"/>
    </xf>
    <xf numFmtId="3" fontId="10" fillId="8" borderId="46" xfId="4" applyNumberFormat="1" applyFont="1" applyFill="1" applyBorder="1" applyAlignment="1">
      <alignment horizontal="right" vertical="center"/>
    </xf>
    <xf numFmtId="169" fontId="10" fillId="8" borderId="46" xfId="4" applyNumberFormat="1" applyFont="1" applyFill="1" applyBorder="1" applyAlignment="1">
      <alignment horizontal="right" vertical="center"/>
    </xf>
    <xf numFmtId="166" fontId="10" fillId="8" borderId="46" xfId="4" applyNumberFormat="1" applyFont="1" applyFill="1" applyBorder="1" applyAlignment="1">
      <alignment horizontal="right" vertical="center"/>
    </xf>
    <xf numFmtId="9" fontId="10" fillId="8" borderId="46" xfId="4" applyNumberFormat="1" applyFont="1" applyFill="1" applyBorder="1" applyAlignment="1">
      <alignment horizontal="right" vertical="center"/>
    </xf>
    <xf numFmtId="0" fontId="31" fillId="2" borderId="0" xfId="0" applyNumberFormat="1" applyFont="1" applyFill="1" applyBorder="1"/>
    <xf numFmtId="0" fontId="46" fillId="2" borderId="0" xfId="0" applyNumberFormat="1" applyFont="1" applyFill="1" applyBorder="1" applyAlignment="1">
      <alignment horizontal="center" vertical="center" wrapText="1"/>
    </xf>
    <xf numFmtId="0" fontId="45" fillId="2" borderId="0" xfId="0" applyNumberFormat="1" applyFont="1" applyFill="1" applyBorder="1" applyAlignment="1">
      <alignment vertical="center"/>
    </xf>
    <xf numFmtId="0" fontId="30" fillId="0" borderId="0" xfId="0" applyNumberFormat="1" applyFont="1" applyFill="1" applyBorder="1"/>
    <xf numFmtId="0" fontId="17" fillId="5" borderId="40" xfId="4" applyNumberFormat="1" applyFont="1" applyFill="1" applyBorder="1"/>
    <xf numFmtId="0" fontId="17" fillId="5" borderId="42" xfId="4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11" fillId="8" borderId="46" xfId="4" applyNumberFormat="1" applyFont="1" applyFill="1" applyBorder="1"/>
    <xf numFmtId="0" fontId="10" fillId="8" borderId="46" xfId="4" applyNumberFormat="1" applyFont="1" applyFill="1" applyBorder="1"/>
    <xf numFmtId="0" fontId="3" fillId="0" borderId="9" xfId="4" applyNumberFormat="1" applyFont="1" applyFill="1" applyBorder="1"/>
    <xf numFmtId="0" fontId="9" fillId="0" borderId="9" xfId="4" applyNumberFormat="1" applyFont="1" applyFill="1" applyBorder="1"/>
    <xf numFmtId="0" fontId="0" fillId="7" borderId="0" xfId="0" applyNumberFormat="1" applyFont="1" applyFill="1" applyBorder="1" applyAlignment="1">
      <alignment horizontal="center"/>
    </xf>
    <xf numFmtId="0" fontId="30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6" fillId="8" borderId="45" xfId="4" applyNumberFormat="1" applyFont="1" applyFill="1" applyBorder="1" applyAlignment="1">
      <alignment horizontal="center" vertical="center" wrapText="1"/>
    </xf>
    <xf numFmtId="3" fontId="9" fillId="0" borderId="16" xfId="4" applyNumberFormat="1" applyFont="1" applyFill="1" applyBorder="1" applyAlignment="1">
      <alignment horizontal="center" vertical="center"/>
    </xf>
    <xf numFmtId="2" fontId="9" fillId="0" borderId="17" xfId="4" applyNumberFormat="1" applyFont="1" applyFill="1" applyBorder="1" applyAlignment="1">
      <alignment horizontal="center" vertical="center"/>
    </xf>
    <xf numFmtId="9" fontId="9" fillId="5" borderId="17" xfId="9" applyNumberFormat="1" applyFont="1" applyFill="1" applyBorder="1" applyAlignment="1">
      <alignment horizontal="center"/>
    </xf>
    <xf numFmtId="0" fontId="9" fillId="0" borderId="20" xfId="4" applyNumberFormat="1" applyFont="1" applyFill="1" applyBorder="1" applyAlignment="1">
      <alignment horizontal="center" vertical="center"/>
    </xf>
    <xf numFmtId="3" fontId="9" fillId="0" borderId="22" xfId="4" applyNumberFormat="1" applyFont="1" applyFill="1" applyBorder="1" applyAlignment="1">
      <alignment horizontal="center" vertical="center"/>
    </xf>
    <xf numFmtId="2" fontId="9" fillId="0" borderId="23" xfId="4" applyNumberFormat="1" applyFont="1" applyFill="1" applyBorder="1" applyAlignment="1">
      <alignment horizontal="center" vertical="center"/>
    </xf>
    <xf numFmtId="9" fontId="9" fillId="5" borderId="23" xfId="9" applyNumberFormat="1" applyFont="1" applyFill="1" applyBorder="1" applyAlignment="1">
      <alignment horizontal="center"/>
    </xf>
    <xf numFmtId="0" fontId="14" fillId="8" borderId="46" xfId="4" applyNumberFormat="1" applyFont="1" applyFill="1" applyBorder="1" applyAlignment="1">
      <alignment horizontal="center" vertical="center" wrapText="1"/>
    </xf>
    <xf numFmtId="0" fontId="14" fillId="8" borderId="43" xfId="4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4" applyNumberFormat="1" applyFont="1" applyFill="1" applyBorder="1" applyAlignment="1">
      <alignment horizontal="center"/>
    </xf>
    <xf numFmtId="0" fontId="11" fillId="8" borderId="21" xfId="4" applyNumberFormat="1" applyFont="1" applyFill="1" applyBorder="1" applyAlignment="1">
      <alignment horizontal="center" vertical="center"/>
    </xf>
    <xf numFmtId="3" fontId="11" fillId="8" borderId="21" xfId="4" applyNumberFormat="1" applyFont="1" applyFill="1" applyBorder="1" applyAlignment="1">
      <alignment horizontal="center" vertical="center"/>
    </xf>
    <xf numFmtId="2" fontId="11" fillId="8" borderId="21" xfId="4" applyNumberFormat="1" applyFont="1" applyFill="1" applyBorder="1" applyAlignment="1">
      <alignment horizontal="center" vertical="center"/>
    </xf>
    <xf numFmtId="0" fontId="10" fillId="8" borderId="21" xfId="4" applyNumberFormat="1" applyFont="1" applyFill="1" applyBorder="1" applyAlignment="1">
      <alignment horizontal="center" vertical="center"/>
    </xf>
    <xf numFmtId="3" fontId="11" fillId="8" borderId="50" xfId="5" applyNumberFormat="1" applyFont="1" applyFill="1" applyBorder="1" applyAlignment="1">
      <alignment horizontal="center"/>
    </xf>
    <xf numFmtId="9" fontId="11" fillId="8" borderId="19" xfId="5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0" fillId="6" borderId="0" xfId="0" applyNumberFormat="1" applyFont="1" applyFill="1" applyBorder="1"/>
    <xf numFmtId="3" fontId="11" fillId="8" borderId="52" xfId="5" applyNumberFormat="1" applyFont="1" applyFill="1" applyBorder="1" applyAlignment="1">
      <alignment horizontal="center"/>
    </xf>
    <xf numFmtId="0" fontId="49" fillId="0" borderId="0" xfId="0" applyNumberFormat="1" applyFont="1" applyFill="1" applyBorder="1"/>
    <xf numFmtId="0" fontId="50" fillId="0" borderId="0" xfId="4" applyNumberFormat="1" applyFont="1" applyFill="1" applyBorder="1"/>
    <xf numFmtId="170" fontId="10" fillId="8" borderId="46" xfId="4" applyNumberFormat="1" applyFont="1" applyFill="1" applyBorder="1" applyAlignment="1">
      <alignment horizontal="center" vertical="center"/>
    </xf>
    <xf numFmtId="0" fontId="51" fillId="0" borderId="0" xfId="5" applyNumberFormat="1" applyFont="1" applyFill="1" applyBorder="1"/>
    <xf numFmtId="14" fontId="0" fillId="0" borderId="0" xfId="0" applyNumberFormat="1" applyFont="1" applyFill="1" applyBorder="1"/>
    <xf numFmtId="0" fontId="16" fillId="8" borderId="42" xfId="4" applyNumberFormat="1" applyFont="1" applyFill="1" applyBorder="1" applyAlignment="1">
      <alignment horizontal="center" vertical="center" wrapText="1"/>
    </xf>
    <xf numFmtId="0" fontId="0" fillId="0" borderId="58" xfId="0" applyNumberFormat="1" applyFont="1" applyFill="1" applyBorder="1"/>
    <xf numFmtId="0" fontId="0" fillId="0" borderId="59" xfId="0" applyNumberFormat="1" applyFont="1" applyFill="1" applyBorder="1"/>
    <xf numFmtId="0" fontId="0" fillId="0" borderId="60" xfId="0" applyNumberFormat="1" applyFont="1" applyFill="1" applyBorder="1"/>
    <xf numFmtId="0" fontId="0" fillId="0" borderId="61" xfId="0" applyNumberFormat="1" applyFont="1" applyFill="1" applyBorder="1"/>
    <xf numFmtId="171" fontId="0" fillId="0" borderId="0" xfId="3" applyNumberFormat="1" applyFont="1" applyFill="1" applyBorder="1"/>
    <xf numFmtId="0" fontId="0" fillId="0" borderId="62" xfId="0" applyNumberFormat="1" applyFont="1" applyFill="1" applyBorder="1"/>
    <xf numFmtId="171" fontId="0" fillId="0" borderId="63" xfId="3" applyNumberFormat="1" applyFont="1" applyFill="1" applyBorder="1"/>
    <xf numFmtId="171" fontId="0" fillId="0" borderId="61" xfId="3" applyNumberFormat="1" applyFont="1" applyFill="1" applyBorder="1"/>
    <xf numFmtId="171" fontId="0" fillId="0" borderId="64" xfId="3" applyNumberFormat="1" applyFont="1" applyFill="1" applyBorder="1"/>
    <xf numFmtId="0" fontId="54" fillId="0" borderId="0" xfId="0" applyNumberFormat="1" applyFont="1" applyFill="1" applyBorder="1" applyAlignment="1">
      <alignment horizontal="left"/>
    </xf>
    <xf numFmtId="0" fontId="52" fillId="0" borderId="57" xfId="0" applyNumberFormat="1" applyFont="1" applyFill="1" applyBorder="1"/>
    <xf numFmtId="0" fontId="17" fillId="0" borderId="46" xfId="4" applyNumberFormat="1" applyFont="1" applyFill="1" applyBorder="1" applyAlignment="1">
      <alignment horizontal="center"/>
    </xf>
    <xf numFmtId="0" fontId="14" fillId="8" borderId="44" xfId="4" quotePrefix="1" applyNumberFormat="1" applyFont="1" applyFill="1" applyBorder="1" applyAlignment="1">
      <alignment horizontal="center" vertical="center" wrapText="1"/>
    </xf>
    <xf numFmtId="0" fontId="17" fillId="2" borderId="40" xfId="4" applyNumberFormat="1" applyFont="1" applyFill="1" applyBorder="1"/>
    <xf numFmtId="0" fontId="17" fillId="2" borderId="42" xfId="4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4" applyNumberFormat="1" applyFont="1" applyFill="1" applyBorder="1" applyAlignment="1">
      <alignment horizontal="right" vertical="center"/>
    </xf>
    <xf numFmtId="9" fontId="17" fillId="2" borderId="46" xfId="4" applyNumberFormat="1" applyFont="1" applyFill="1" applyBorder="1" applyAlignment="1">
      <alignment horizontal="right" vertical="center"/>
    </xf>
    <xf numFmtId="0" fontId="15" fillId="2" borderId="0" xfId="0" applyNumberFormat="1" applyFont="1" applyFill="1" applyBorder="1" applyAlignment="1">
      <alignment horizontal="center" vertical="center"/>
    </xf>
    <xf numFmtId="0" fontId="22" fillId="0" borderId="0" xfId="0" applyNumberFormat="1" applyFont="1" applyFill="1" applyBorder="1"/>
    <xf numFmtId="0" fontId="23" fillId="0" borderId="6" xfId="0" applyNumberFormat="1" applyFont="1" applyFill="1" applyBorder="1"/>
    <xf numFmtId="0" fontId="23" fillId="0" borderId="0" xfId="0" applyNumberFormat="1" applyFont="1" applyFill="1" applyBorder="1"/>
    <xf numFmtId="0" fontId="11" fillId="8" borderId="55" xfId="5" applyNumberFormat="1" applyFont="1" applyFill="1" applyBorder="1" applyAlignment="1">
      <alignment horizontal="center" vertical="center" wrapText="1"/>
    </xf>
    <xf numFmtId="0" fontId="9" fillId="0" borderId="0" xfId="5" applyNumberFormat="1" applyFont="1" applyFill="1" applyBorder="1" applyAlignment="1">
      <alignment horizontal="center"/>
    </xf>
    <xf numFmtId="0" fontId="23" fillId="0" borderId="7" xfId="0" applyNumberFormat="1" applyFont="1" applyFill="1" applyBorder="1"/>
    <xf numFmtId="0" fontId="20" fillId="0" borderId="0" xfId="0" applyNumberFormat="1" applyFont="1" applyFill="1" applyBorder="1"/>
    <xf numFmtId="0" fontId="21" fillId="0" borderId="6" xfId="0" applyNumberFormat="1" applyFont="1" applyFill="1" applyBorder="1"/>
    <xf numFmtId="0" fontId="9" fillId="0" borderId="0" xfId="5" applyNumberFormat="1" applyFont="1" applyFill="1" applyBorder="1"/>
    <xf numFmtId="0" fontId="11" fillId="8" borderId="53" xfId="5" applyNumberFormat="1" applyFont="1" applyFill="1" applyBorder="1" applyAlignment="1">
      <alignment horizontal="center" vertical="center" wrapText="1"/>
    </xf>
    <xf numFmtId="0" fontId="11" fillId="8" borderId="54" xfId="5" applyNumberFormat="1" applyFont="1" applyFill="1" applyBorder="1" applyAlignment="1">
      <alignment horizontal="center" vertical="center" wrapText="1"/>
    </xf>
    <xf numFmtId="0" fontId="11" fillId="8" borderId="56" xfId="5" applyNumberFormat="1" applyFont="1" applyFill="1" applyBorder="1" applyAlignment="1">
      <alignment horizontal="center" vertical="center" wrapText="1"/>
    </xf>
    <xf numFmtId="0" fontId="21" fillId="0" borderId="7" xfId="0" applyNumberFormat="1" applyFont="1" applyFill="1" applyBorder="1"/>
    <xf numFmtId="0" fontId="21" fillId="0" borderId="0" xfId="0" applyNumberFormat="1" applyFont="1" applyFill="1" applyBorder="1"/>
    <xf numFmtId="167" fontId="21" fillId="0" borderId="0" xfId="0" applyNumberFormat="1" applyFont="1" applyFill="1" applyBorder="1"/>
    <xf numFmtId="0" fontId="21" fillId="2" borderId="0" xfId="0" applyNumberFormat="1" applyFont="1" applyFill="1" applyBorder="1"/>
    <xf numFmtId="0" fontId="24" fillId="2" borderId="0" xfId="5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/>
    <xf numFmtId="0" fontId="12" fillId="0" borderId="15" xfId="5" applyNumberFormat="1" applyFont="1" applyFill="1" applyBorder="1"/>
    <xf numFmtId="3" fontId="9" fillId="0" borderId="16" xfId="5" applyNumberFormat="1" applyFont="1" applyFill="1" applyBorder="1" applyAlignment="1">
      <alignment horizontal="center"/>
    </xf>
    <xf numFmtId="9" fontId="9" fillId="0" borderId="17" xfId="9" applyNumberFormat="1" applyFont="1" applyFill="1" applyBorder="1" applyAlignment="1">
      <alignment horizontal="center"/>
    </xf>
    <xf numFmtId="0" fontId="9" fillId="0" borderId="48" xfId="5" applyNumberFormat="1" applyFont="1" applyFill="1" applyBorder="1"/>
    <xf numFmtId="3" fontId="9" fillId="0" borderId="47" xfId="5" applyNumberFormat="1" applyFont="1" applyFill="1" applyBorder="1" applyAlignment="1">
      <alignment horizontal="center"/>
    </xf>
    <xf numFmtId="9" fontId="9" fillId="0" borderId="49" xfId="9" applyNumberFormat="1" applyFont="1" applyFill="1" applyBorder="1" applyAlignment="1">
      <alignment horizontal="center"/>
    </xf>
    <xf numFmtId="0" fontId="11" fillId="8" borderId="2" xfId="5" applyNumberFormat="1" applyFont="1" applyFill="1" applyBorder="1" applyAlignment="1">
      <alignment horizontal="left" vertical="center"/>
    </xf>
    <xf numFmtId="0" fontId="52" fillId="7" borderId="0" xfId="0" applyNumberFormat="1" applyFont="1" applyFill="1" applyBorder="1"/>
    <xf numFmtId="0" fontId="52" fillId="0" borderId="0" xfId="0" applyNumberFormat="1" applyFont="1" applyFill="1" applyBorder="1"/>
    <xf numFmtId="0" fontId="56" fillId="0" borderId="0" xfId="8" applyNumberFormat="1" applyFont="1" applyFill="1" applyBorder="1" applyAlignment="1">
      <alignment horizontal="left" vertical="center"/>
    </xf>
    <xf numFmtId="172" fontId="57" fillId="0" borderId="0" xfId="4" applyNumberFormat="1" applyFont="1" applyFill="1" applyBorder="1" applyAlignment="1">
      <alignment horizontal="center" vertical="center" wrapText="1"/>
    </xf>
    <xf numFmtId="0" fontId="18" fillId="0" borderId="0" xfId="0" applyNumberFormat="1" applyFont="1" applyFill="1" applyBorder="1" applyAlignment="1">
      <alignment horizontal="center"/>
    </xf>
    <xf numFmtId="10" fontId="5" fillId="0" borderId="2" xfId="9" applyNumberFormat="1" applyFont="1" applyFill="1" applyBorder="1" applyAlignment="1">
      <alignment horizontal="center" vertical="center"/>
    </xf>
    <xf numFmtId="9" fontId="17" fillId="5" borderId="46" xfId="4" applyNumberFormat="1" applyFont="1" applyFill="1" applyBorder="1" applyAlignment="1">
      <alignment horizontal="center" vertical="center"/>
    </xf>
    <xf numFmtId="9" fontId="0" fillId="0" borderId="0" xfId="0" applyNumberFormat="1" applyFont="1" applyFill="1" applyBorder="1"/>
    <xf numFmtId="9" fontId="17" fillId="2" borderId="46" xfId="4" applyNumberFormat="1" applyFont="1" applyFill="1" applyBorder="1" applyAlignment="1">
      <alignment horizontal="center" vertical="center"/>
    </xf>
    <xf numFmtId="0" fontId="13" fillId="2" borderId="0" xfId="4" applyNumberFormat="1" applyFont="1" applyFill="1" applyBorder="1"/>
    <xf numFmtId="168" fontId="10" fillId="8" borderId="46" xfId="4" applyNumberFormat="1" applyFont="1" applyFill="1" applyBorder="1" applyAlignment="1">
      <alignment horizontal="right" vertical="center"/>
    </xf>
    <xf numFmtId="9" fontId="10" fillId="8" borderId="46" xfId="4" applyNumberFormat="1" applyFont="1" applyFill="1" applyBorder="1" applyAlignment="1">
      <alignment horizontal="center" vertical="center"/>
    </xf>
    <xf numFmtId="0" fontId="9" fillId="0" borderId="0" xfId="4" applyNumberFormat="1" applyFont="1" applyFill="1" applyBorder="1" applyAlignment="1">
      <alignment horizontal="center"/>
    </xf>
    <xf numFmtId="172" fontId="17" fillId="5" borderId="46" xfId="4" applyNumberFormat="1" applyFont="1" applyFill="1" applyBorder="1" applyAlignment="1">
      <alignment horizontal="right" vertical="center"/>
    </xf>
    <xf numFmtId="10" fontId="13" fillId="5" borderId="46" xfId="4" applyNumberFormat="1" applyFont="1" applyFill="1" applyBorder="1" applyAlignment="1">
      <alignment horizontal="right" vertical="center"/>
    </xf>
    <xf numFmtId="172" fontId="17" fillId="2" borderId="46" xfId="4" applyNumberFormat="1" applyFont="1" applyFill="1" applyBorder="1" applyAlignment="1">
      <alignment horizontal="right" vertical="center"/>
    </xf>
    <xf numFmtId="10" fontId="13" fillId="2" borderId="46" xfId="4" applyNumberFormat="1" applyFont="1" applyFill="1" applyBorder="1" applyAlignment="1">
      <alignment horizontal="right" vertical="center"/>
    </xf>
    <xf numFmtId="174" fontId="10" fillId="8" borderId="46" xfId="4" applyNumberFormat="1" applyFont="1" applyFill="1" applyBorder="1" applyAlignment="1">
      <alignment horizontal="right" vertical="center"/>
    </xf>
    <xf numFmtId="10" fontId="10" fillId="8" borderId="46" xfId="4" applyNumberFormat="1" applyFont="1" applyFill="1" applyBorder="1" applyAlignment="1">
      <alignment horizontal="right" vertical="center"/>
    </xf>
    <xf numFmtId="172" fontId="3" fillId="0" borderId="0" xfId="4" applyNumberFormat="1" applyFont="1" applyFill="1" applyBorder="1"/>
    <xf numFmtId="0" fontId="48" fillId="0" borderId="0" xfId="0" applyNumberFormat="1" applyFont="1" applyFill="1" applyBorder="1" applyAlignment="1">
      <alignment horizontal="left" vertical="center" wrapText="1"/>
    </xf>
    <xf numFmtId="0" fontId="42" fillId="0" borderId="0" xfId="8" applyNumberFormat="1" applyFont="1" applyFill="1" applyBorder="1" applyAlignment="1">
      <alignment horizontal="left" vertical="center" wrapText="1"/>
    </xf>
    <xf numFmtId="0" fontId="55" fillId="8" borderId="65" xfId="0" applyNumberFormat="1" applyFont="1" applyFill="1" applyBorder="1" applyAlignment="1">
      <alignment horizontal="center"/>
    </xf>
    <xf numFmtId="1" fontId="42" fillId="0" borderId="11" xfId="7" applyNumberFormat="1" applyFont="1" applyFill="1" applyBorder="1" applyAlignment="1">
      <alignment horizontal="left" vertical="center" wrapText="1"/>
    </xf>
    <xf numFmtId="1" fontId="42" fillId="0" borderId="12" xfId="7" applyNumberFormat="1" applyFont="1" applyFill="1" applyBorder="1" applyAlignment="1">
      <alignment horizontal="left" vertical="center" wrapText="1"/>
    </xf>
    <xf numFmtId="1" fontId="42" fillId="0" borderId="13" xfId="7" applyNumberFormat="1" applyFont="1" applyFill="1" applyBorder="1" applyAlignment="1">
      <alignment horizontal="left" vertical="center" wrapText="1"/>
    </xf>
    <xf numFmtId="0" fontId="9" fillId="2" borderId="0" xfId="7" applyNumberFormat="1" applyFont="1" applyFill="1" applyBorder="1" applyAlignment="1">
      <alignment horizontal="left" wrapText="1"/>
    </xf>
    <xf numFmtId="0" fontId="41" fillId="2" borderId="0" xfId="7" applyNumberFormat="1" applyFont="1" applyFill="1" applyBorder="1" applyAlignment="1">
      <alignment horizontal="left" wrapText="1"/>
    </xf>
    <xf numFmtId="0" fontId="47" fillId="8" borderId="51" xfId="0" applyNumberFormat="1" applyFont="1" applyFill="1" applyBorder="1" applyAlignment="1">
      <alignment horizontal="center" vertical="center"/>
    </xf>
    <xf numFmtId="0" fontId="47" fillId="8" borderId="52" xfId="0" applyNumberFormat="1" applyFont="1" applyFill="1" applyBorder="1" applyAlignment="1">
      <alignment horizontal="center" vertical="center"/>
    </xf>
    <xf numFmtId="0" fontId="12" fillId="0" borderId="31" xfId="4" applyNumberFormat="1" applyFont="1" applyFill="1" applyBorder="1" applyAlignment="1">
      <alignment horizontal="center" vertical="center"/>
    </xf>
    <xf numFmtId="0" fontId="12" fillId="0" borderId="32" xfId="4" applyNumberFormat="1" applyFont="1" applyFill="1" applyBorder="1" applyAlignment="1">
      <alignment horizontal="center" vertical="center"/>
    </xf>
    <xf numFmtId="0" fontId="12" fillId="0" borderId="33" xfId="4" applyNumberFormat="1" applyFont="1" applyFill="1" applyBorder="1" applyAlignment="1">
      <alignment horizontal="center" vertical="center"/>
    </xf>
    <xf numFmtId="0" fontId="12" fillId="0" borderId="34" xfId="4" applyNumberFormat="1" applyFont="1" applyFill="1" applyBorder="1" applyAlignment="1">
      <alignment horizontal="center" vertical="center"/>
    </xf>
    <xf numFmtId="0" fontId="12" fillId="0" borderId="0" xfId="4" applyNumberFormat="1" applyFont="1" applyFill="1" applyBorder="1" applyAlignment="1">
      <alignment horizontal="center" vertical="center"/>
    </xf>
    <xf numFmtId="0" fontId="12" fillId="0" borderId="35" xfId="4" applyNumberFormat="1" applyFont="1" applyFill="1" applyBorder="1" applyAlignment="1">
      <alignment horizontal="center" vertical="center"/>
    </xf>
    <xf numFmtId="0" fontId="12" fillId="0" borderId="36" xfId="4" applyNumberFormat="1" applyFont="1" applyFill="1" applyBorder="1" applyAlignment="1">
      <alignment horizontal="center" vertical="center"/>
    </xf>
    <xf numFmtId="0" fontId="12" fillId="0" borderId="37" xfId="4" applyNumberFormat="1" applyFont="1" applyFill="1" applyBorder="1" applyAlignment="1">
      <alignment horizontal="center" vertical="center"/>
    </xf>
    <xf numFmtId="0" fontId="12" fillId="0" borderId="38" xfId="4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/>
    </xf>
    <xf numFmtId="0" fontId="14" fillId="8" borderId="41" xfId="4" applyNumberFormat="1" applyFont="1" applyFill="1" applyBorder="1" applyAlignment="1">
      <alignment horizontal="center"/>
    </xf>
    <xf numFmtId="0" fontId="14" fillId="8" borderId="42" xfId="4" applyNumberFormat="1" applyFont="1" applyFill="1" applyBorder="1" applyAlignment="1">
      <alignment horizontal="center"/>
    </xf>
    <xf numFmtId="0" fontId="45" fillId="0" borderId="0" xfId="0" applyNumberFormat="1" applyFont="1" applyFill="1" applyBorder="1" applyAlignment="1">
      <alignment horizontal="center" vertical="center"/>
    </xf>
    <xf numFmtId="0" fontId="45" fillId="2" borderId="0" xfId="0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 vertical="center" wrapText="1"/>
    </xf>
    <xf numFmtId="0" fontId="14" fillId="8" borderId="41" xfId="4" applyNumberFormat="1" applyFont="1" applyFill="1" applyBorder="1" applyAlignment="1">
      <alignment horizontal="center" vertical="center" wrapText="1"/>
    </xf>
    <xf numFmtId="0" fontId="14" fillId="8" borderId="42" xfId="4" applyNumberFormat="1" applyFont="1" applyFill="1" applyBorder="1" applyAlignment="1">
      <alignment horizontal="center" vertical="center" wrapText="1"/>
    </xf>
    <xf numFmtId="1" fontId="53" fillId="0" borderId="11" xfId="7" applyNumberFormat="1" applyFont="1" applyFill="1" applyBorder="1" applyAlignment="1">
      <alignment horizontal="left" vertical="center" wrapText="1"/>
    </xf>
    <xf numFmtId="1" fontId="53" fillId="0" borderId="12" xfId="7" applyNumberFormat="1" applyFont="1" applyFill="1" applyBorder="1" applyAlignment="1">
      <alignment horizontal="left" vertical="center" wrapText="1"/>
    </xf>
    <xf numFmtId="1" fontId="53" fillId="0" borderId="13" xfId="7" applyNumberFormat="1" applyFont="1" applyFill="1" applyBorder="1" applyAlignment="1">
      <alignment horizontal="left" vertical="center" wrapText="1"/>
    </xf>
  </cellXfs>
  <cellStyles count="12">
    <cellStyle name="Comma" xfId="1" builtinId="3"/>
    <cellStyle name="Monétaire 2" xfId="2"/>
    <cellStyle name="Monétaire 3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ercent" xfId="9" builtinId="5"/>
    <cellStyle name="Pourcentage 2" xfId="10"/>
    <cellStyle name="Pourcentage 2 2" xfId="11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effectifs'!$AA$14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effectifs'!$AB$13:$AC$13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effectifs'!$AB$14:$AC$14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91884352"/>
        <c:axId val="1391889248"/>
      </c:barChart>
      <c:catAx>
        <c:axId val="139188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1889248"/>
        <c:crosses val="autoZero"/>
        <c:auto val="1"/>
        <c:lblAlgn val="ctr"/>
        <c:lblOffset val="100"/>
        <c:noMultiLvlLbl val="0"/>
      </c:catAx>
      <c:valAx>
        <c:axId val="139188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188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391893600"/>
        <c:axId val="1391896320"/>
      </c:barChart>
      <c:catAx>
        <c:axId val="139189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391896320"/>
        <c:crosses val="autoZero"/>
        <c:auto val="1"/>
        <c:lblAlgn val="ctr"/>
        <c:lblOffset val="100"/>
        <c:noMultiLvlLbl val="0"/>
      </c:catAx>
      <c:valAx>
        <c:axId val="139189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189360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 xmlns:c16r2="http://schemas.microsoft.com/office/drawing/2015/06/chart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20CB-48EC-A596-19BBE713ABD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20CB-48EC-A596-19BBE713ABDB}"/>
                </c:ex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5B9B-4785-94E6-4D17AC42C048}"/>
                </c:ex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17798</c:v>
                </c:pt>
                <c:pt idx="1">
                  <c:v>0</c:v>
                </c:pt>
                <c:pt idx="2">
                  <c:v>479.19</c:v>
                </c:pt>
                <c:pt idx="3">
                  <c:v>70467.989999999932</c:v>
                </c:pt>
                <c:pt idx="4">
                  <c:v>102104.68000000001</c:v>
                </c:pt>
                <c:pt idx="5">
                  <c:v>807.69999999999936</c:v>
                </c:pt>
                <c:pt idx="6">
                  <c:v>0</c:v>
                </c:pt>
                <c:pt idx="7">
                  <c:v>330616.05000002298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1060.69</c:v>
                </c:pt>
                <c:pt idx="1">
                  <c:v>0</c:v>
                </c:pt>
                <c:pt idx="2">
                  <c:v>12.5</c:v>
                </c:pt>
                <c:pt idx="3">
                  <c:v>12444.810000000001</c:v>
                </c:pt>
                <c:pt idx="4">
                  <c:v>1670.65</c:v>
                </c:pt>
                <c:pt idx="5">
                  <c:v>19307.18</c:v>
                </c:pt>
                <c:pt idx="6">
                  <c:v>0</c:v>
                </c:pt>
                <c:pt idx="7">
                  <c:v>11053.979999999998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11486.420000000002</c:v>
                </c:pt>
                <c:pt idx="1">
                  <c:v>0</c:v>
                </c:pt>
                <c:pt idx="2">
                  <c:v>316.5</c:v>
                </c:pt>
                <c:pt idx="3">
                  <c:v>82287.489999999991</c:v>
                </c:pt>
                <c:pt idx="4">
                  <c:v>15714.300000000025</c:v>
                </c:pt>
                <c:pt idx="5">
                  <c:v>80981.119999999864</c:v>
                </c:pt>
                <c:pt idx="6">
                  <c:v>2991.0000000000018</c:v>
                </c:pt>
                <c:pt idx="7">
                  <c:v>51971.959999969695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1895776"/>
        <c:axId val="1391895232"/>
      </c:barChart>
      <c:catAx>
        <c:axId val="1391895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391895232"/>
        <c:crosses val="autoZero"/>
        <c:auto val="1"/>
        <c:lblAlgn val="ctr"/>
        <c:lblOffset val="100"/>
        <c:noMultiLvlLbl val="0"/>
      </c:catAx>
      <c:valAx>
        <c:axId val="13918952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189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12.971945259042032</c:v>
                </c:pt>
                <c:pt idx="1">
                  <c:v>906.05666666666673</c:v>
                </c:pt>
                <c:pt idx="2">
                  <c:v>35.191111111111113</c:v>
                </c:pt>
                <c:pt idx="3">
                  <c:v>60.762497219132356</c:v>
                </c:pt>
                <c:pt idx="4">
                  <c:v>56.229076154806492</c:v>
                </c:pt>
                <c:pt idx="5">
                  <c:v>105.00800842992635</c:v>
                </c:pt>
                <c:pt idx="6">
                  <c:v>42.57721003134796</c:v>
                </c:pt>
                <c:pt idx="7">
                  <c:v>3.5297316799776479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  <c:pt idx="0">
                  <c:v>22.551906537955251</c:v>
                </c:pt>
                <c:pt idx="1">
                  <c:v>126.90946428571429</c:v>
                </c:pt>
                <c:pt idx="2">
                  <c:v>43.244387755102039</c:v>
                </c:pt>
                <c:pt idx="3">
                  <c:v>73.117336496980073</c:v>
                </c:pt>
                <c:pt idx="4">
                  <c:v>64.321971002598843</c:v>
                </c:pt>
                <c:pt idx="5">
                  <c:v>131.49341528239216</c:v>
                </c:pt>
                <c:pt idx="6">
                  <c:v>41.004826883910383</c:v>
                </c:pt>
                <c:pt idx="7">
                  <c:v>4.2845221881843516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894688"/>
        <c:axId val="1391896864"/>
      </c:barChart>
      <c:catAx>
        <c:axId val="139189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1896864"/>
        <c:crosses val="autoZero"/>
        <c:auto val="1"/>
        <c:lblAlgn val="ctr"/>
        <c:lblOffset val="100"/>
        <c:noMultiLvlLbl val="0"/>
      </c:catAx>
      <c:valAx>
        <c:axId val="139189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189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70AF-473A-B5F0-26F85E81E3EE}"/>
                </c:ex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205583.18000000005</c:v>
                </c:pt>
                <c:pt idx="1">
                  <c:v>28427.72</c:v>
                </c:pt>
                <c:pt idx="2">
                  <c:v>8475.9</c:v>
                </c:pt>
                <c:pt idx="3">
                  <c:v>1694859.8599999982</c:v>
                </c:pt>
                <c:pt idx="4">
                  <c:v>940515.86000000022</c:v>
                </c:pt>
                <c:pt idx="5">
                  <c:v>1583180.7200000016</c:v>
                </c:pt>
                <c:pt idx="6">
                  <c:v>241600.43999999997</c:v>
                </c:pt>
                <c:pt idx="7">
                  <c:v>2786036.2600000035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#\ ##0\ "€"</c:formatCode>
                <c:ptCount val="6"/>
                <c:pt idx="0">
                  <c:v>12870.3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200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8F4-43A7-83D2-D8E8FB038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1898496"/>
        <c:axId val="1391886528"/>
      </c:barChart>
      <c:catAx>
        <c:axId val="13918984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91886528"/>
        <c:crosses val="autoZero"/>
        <c:auto val="1"/>
        <c:lblAlgn val="ctr"/>
        <c:lblOffset val="100"/>
        <c:noMultiLvlLbl val="0"/>
      </c:catAx>
      <c:valAx>
        <c:axId val="1391886528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391898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AUTRE!$D$16:$D$19</c:f>
              <c:strCache>
                <c:ptCount val="4"/>
                <c:pt idx="0">
                  <c:v>DIVERS</c:v>
                </c:pt>
                <c:pt idx="1">
                  <c:v>HORS NOMENCLATURE</c:v>
                </c:pt>
                <c:pt idx="2">
                  <c:v>NON RENSEIGNE</c:v>
                </c:pt>
                <c:pt idx="3">
                  <c:v>RÉSEAU ITELIS</c:v>
                </c:pt>
              </c:strCache>
            </c:strRef>
          </c:cat>
          <c:val>
            <c:numRef>
              <c:f>AUTRE!$J$16:$J$19</c:f>
              <c:numCache>
                <c:formatCode>#\ ##0\ "€"</c:formatCode>
                <c:ptCount val="4"/>
                <c:pt idx="0">
                  <c:v>0</c:v>
                </c:pt>
                <c:pt idx="1">
                  <c:v>240</c:v>
                </c:pt>
                <c:pt idx="2">
                  <c:v>0</c:v>
                </c:pt>
                <c:pt idx="3">
                  <c:v>5196.34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827-4464-AB5F-0DB8EBF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1887072"/>
        <c:axId val="1391887616"/>
      </c:barChart>
      <c:catAx>
        <c:axId val="13918870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91887616"/>
        <c:crosses val="autoZero"/>
        <c:auto val="1"/>
        <c:lblAlgn val="ctr"/>
        <c:lblOffset val="100"/>
        <c:noMultiLvlLbl val="0"/>
      </c:catAx>
      <c:valAx>
        <c:axId val="139188761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391887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#\ ##0\ "€"</c:formatCode>
                <c:ptCount val="1"/>
                <c:pt idx="0">
                  <c:v>316.72000000000003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CF-480B-9D38-876E0C7AB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1891968"/>
        <c:axId val="1391888160"/>
      </c:barChart>
      <c:catAx>
        <c:axId val="1391891968"/>
        <c:scaling>
          <c:orientation val="minMax"/>
        </c:scaling>
        <c:delete val="0"/>
        <c:axPos val="l"/>
        <c:majorTickMark val="out"/>
        <c:minorTickMark val="none"/>
        <c:tickLblPos val="nextTo"/>
        <c:crossAx val="1391888160"/>
        <c:crosses val="autoZero"/>
        <c:auto val="1"/>
        <c:lblAlgn val="ctr"/>
        <c:lblOffset val="100"/>
        <c:noMultiLvlLbl val="0"/>
      </c:catAx>
      <c:valAx>
        <c:axId val="1391888160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391891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#\ ##0\ "€"</c:formatCode>
                <c:ptCount val="7"/>
                <c:pt idx="0">
                  <c:v>3774.8399999999901</c:v>
                </c:pt>
                <c:pt idx="1">
                  <c:v>14700.3</c:v>
                </c:pt>
                <c:pt idx="2">
                  <c:v>899.28</c:v>
                </c:pt>
                <c:pt idx="3">
                  <c:v>61116.12</c:v>
                </c:pt>
                <c:pt idx="4">
                  <c:v>12759.56</c:v>
                </c:pt>
                <c:pt idx="5">
                  <c:v>8674.8700000000008</c:v>
                </c:pt>
                <c:pt idx="6">
                  <c:v>7325.99999999998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E5-4755-9470-DA3A28BE6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1888704"/>
        <c:axId val="1391889792"/>
      </c:barChart>
      <c:catAx>
        <c:axId val="1391888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91889792"/>
        <c:crosses val="autoZero"/>
        <c:auto val="1"/>
        <c:lblAlgn val="ctr"/>
        <c:lblOffset val="100"/>
        <c:noMultiLvlLbl val="0"/>
      </c:catAx>
      <c:valAx>
        <c:axId val="1391889792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391888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HOSPI!$D$16:$D$24</c:f>
              <c:strCache>
                <c:ptCount val="9"/>
                <c:pt idx="0">
                  <c:v>CHAMBRE PARTICULIERE</c:v>
                </c:pt>
                <c:pt idx="1">
                  <c:v>FORFAIT JOURNALIER</c:v>
                </c:pt>
                <c:pt idx="2">
                  <c:v>FRAIS SEJOUR</c:v>
                </c:pt>
                <c:pt idx="3">
                  <c:v>FRAIS TRANSPORT</c:v>
                </c:pt>
                <c:pt idx="4">
                  <c:v>HONORAIRE / FRAIS SEJOUR</c:v>
                </c:pt>
                <c:pt idx="5">
                  <c:v>HONORAIRES</c:v>
                </c:pt>
                <c:pt idx="6">
                  <c:v>HONORAIRES LIES A L'ACCOUCHEMENT</c:v>
                </c:pt>
                <c:pt idx="7">
                  <c:v>INDEMNITE DE NAISSANCE</c:v>
                </c:pt>
                <c:pt idx="8">
                  <c:v>LIT ACCOMPAGNANT</c:v>
                </c:pt>
              </c:strCache>
            </c:strRef>
          </c:cat>
          <c:val>
            <c:numRef>
              <c:f>HOSPI!$J$16:$J$24</c:f>
              <c:numCache>
                <c:formatCode>#\ ##0\ "€"</c:formatCode>
                <c:ptCount val="9"/>
                <c:pt idx="0">
                  <c:v>6874.84</c:v>
                </c:pt>
                <c:pt idx="1">
                  <c:v>2064.6</c:v>
                </c:pt>
                <c:pt idx="2">
                  <c:v>72</c:v>
                </c:pt>
                <c:pt idx="3">
                  <c:v>502.05</c:v>
                </c:pt>
                <c:pt idx="4">
                  <c:v>358.72</c:v>
                </c:pt>
                <c:pt idx="5">
                  <c:v>32133.52</c:v>
                </c:pt>
                <c:pt idx="6">
                  <c:v>1851.04</c:v>
                </c:pt>
                <c:pt idx="7">
                  <c:v>1022.72</c:v>
                </c:pt>
                <c:pt idx="8">
                  <c:v>160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850-481D-8A45-10198E759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1891424"/>
        <c:axId val="1391890336"/>
      </c:barChart>
      <c:catAx>
        <c:axId val="13918914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91890336"/>
        <c:crosses val="autoZero"/>
        <c:auto val="1"/>
        <c:lblAlgn val="ctr"/>
        <c:lblOffset val="100"/>
        <c:noMultiLvlLbl val="0"/>
      </c:catAx>
      <c:valAx>
        <c:axId val="139189033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3918914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3E-4E68-B5E4-7116A1862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7519296"/>
        <c:axId val="1387520384"/>
      </c:barChart>
      <c:catAx>
        <c:axId val="1387519296"/>
        <c:scaling>
          <c:orientation val="minMax"/>
        </c:scaling>
        <c:delete val="0"/>
        <c:axPos val="l"/>
        <c:majorTickMark val="out"/>
        <c:minorTickMark val="none"/>
        <c:tickLblPos val="nextTo"/>
        <c:crossAx val="1387520384"/>
        <c:crosses val="autoZero"/>
        <c:auto val="1"/>
        <c:lblAlgn val="ctr"/>
        <c:lblOffset val="100"/>
        <c:noMultiLvlLbl val="0"/>
      </c:catAx>
      <c:valAx>
        <c:axId val="1387520384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387519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MONTURE / 2 VERRES TRES COMPLEXES</c:v>
                </c:pt>
                <c:pt idx="9">
                  <c:v>OPTIQUE</c:v>
                </c:pt>
              </c:strCache>
            </c:strRef>
          </c:cat>
          <c:val>
            <c:numRef>
              <c:f>OPTIQ!$J$16:$J$25</c:f>
              <c:numCache>
                <c:formatCode>#\ ##0\ "€"</c:formatCode>
                <c:ptCount val="10"/>
                <c:pt idx="0">
                  <c:v>55268.710000000101</c:v>
                </c:pt>
                <c:pt idx="1">
                  <c:v>332.1</c:v>
                </c:pt>
                <c:pt idx="2">
                  <c:v>0</c:v>
                </c:pt>
                <c:pt idx="3">
                  <c:v>9694.52</c:v>
                </c:pt>
                <c:pt idx="4">
                  <c:v>0</c:v>
                </c:pt>
                <c:pt idx="5">
                  <c:v>356.91</c:v>
                </c:pt>
                <c:pt idx="6">
                  <c:v>22025.97</c:v>
                </c:pt>
                <c:pt idx="7">
                  <c:v>11612.05</c:v>
                </c:pt>
                <c:pt idx="8">
                  <c:v>362.34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BE0-42F8-A3AD-41F413BE3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4869264"/>
        <c:axId val="1764866544"/>
      </c:barChart>
      <c:catAx>
        <c:axId val="1764869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64866544"/>
        <c:crosses val="autoZero"/>
        <c:auto val="1"/>
        <c:lblAlgn val="ctr"/>
        <c:lblOffset val="100"/>
        <c:noMultiLvlLbl val="0"/>
      </c:catAx>
      <c:valAx>
        <c:axId val="1764866544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76486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#\ ##0\ "€"</c:formatCode>
                <c:ptCount val="2"/>
                <c:pt idx="0">
                  <c:v>13545</c:v>
                </c:pt>
                <c:pt idx="1">
                  <c:v>37.130000000000003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BF9-4C4E-AA99-C98BC7D12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4874160"/>
        <c:axId val="1764870352"/>
      </c:barChart>
      <c:catAx>
        <c:axId val="17648741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64870352"/>
        <c:crosses val="autoZero"/>
        <c:auto val="1"/>
        <c:lblAlgn val="ctr"/>
        <c:lblOffset val="100"/>
        <c:noMultiLvlLbl val="0"/>
      </c:catAx>
      <c:valAx>
        <c:axId val="1764870352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764874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SOINS!$D$16:$D$22</c:f>
              <c:strCache>
                <c:ptCount val="7"/>
                <c:pt idx="0">
                  <c:v>ANALYSES</c:v>
                </c:pt>
                <c:pt idx="1">
                  <c:v>APPAREILLAGE</c:v>
                </c:pt>
                <c:pt idx="2">
                  <c:v>AUXILIAIRES MEDICAUX</c:v>
                </c:pt>
                <c:pt idx="3">
                  <c:v>CONSULTATIONS,VISITES ET ACTES DE PETITE CHIRURGIE</c:v>
                </c:pt>
                <c:pt idx="4">
                  <c:v>IMAGERIE, RADIOLOGIE, ECHOGRAPHIE</c:v>
                </c:pt>
                <c:pt idx="5">
                  <c:v>PHARMACIE</c:v>
                </c:pt>
                <c:pt idx="6">
                  <c:v>SOINS ORTHOPTISTE</c:v>
                </c:pt>
              </c:strCache>
            </c:strRef>
          </c:cat>
          <c:val>
            <c:numRef>
              <c:f>SOINS!$J$16:$J$22</c:f>
              <c:numCache>
                <c:formatCode>#\ ##0\ "€"</c:formatCode>
                <c:ptCount val="7"/>
                <c:pt idx="0">
                  <c:v>19405.3300000001</c:v>
                </c:pt>
                <c:pt idx="1">
                  <c:v>1126.3</c:v>
                </c:pt>
                <c:pt idx="2">
                  <c:v>31660.810000000401</c:v>
                </c:pt>
                <c:pt idx="3">
                  <c:v>79834.979999999501</c:v>
                </c:pt>
                <c:pt idx="4">
                  <c:v>15686.55</c:v>
                </c:pt>
                <c:pt idx="5">
                  <c:v>53583.410000003802</c:v>
                </c:pt>
                <c:pt idx="6">
                  <c:v>236.18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687-4411-95A6-CCA2199A0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4870896"/>
        <c:axId val="1764874704"/>
      </c:barChart>
      <c:catAx>
        <c:axId val="17648708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64874704"/>
        <c:crosses val="autoZero"/>
        <c:auto val="1"/>
        <c:lblAlgn val="ctr"/>
        <c:lblOffset val="100"/>
        <c:noMultiLvlLbl val="0"/>
      </c:catAx>
      <c:valAx>
        <c:axId val="1764874704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764870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5849-46B3-A6B0-C548C6FD82A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5849-46B3-A6B0-C548C6FD82AF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5849-46B3-A6B0-C548C6FD82A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5849-46B3-A6B0-C548C6FD82AF}"/>
                </c:ex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4869808"/>
        <c:axId val="1764867088"/>
      </c:lineChart>
      <c:catAx>
        <c:axId val="17648698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867088"/>
        <c:crosses val="autoZero"/>
        <c:auto val="1"/>
        <c:lblAlgn val="ctr"/>
        <c:lblOffset val="100"/>
        <c:noMultiLvlLbl val="0"/>
      </c:catAx>
      <c:valAx>
        <c:axId val="176486708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86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1750-4142-B500-1430FD3099EC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1750-4142-B500-1430FD3099EC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1750-4142-B500-1430FD3099EC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1750-4142-B500-1430FD3099EC}"/>
                </c:ex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4860016"/>
        <c:axId val="1764871440"/>
      </c:lineChart>
      <c:catAx>
        <c:axId val="17648600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871440"/>
        <c:crosses val="autoZero"/>
        <c:auto val="1"/>
        <c:lblAlgn val="ctr"/>
        <c:lblOffset val="100"/>
        <c:noMultiLvlLbl val="0"/>
      </c:catAx>
      <c:valAx>
        <c:axId val="176487144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86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B15F-4D26-A046-BEE042AF4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B15F-4D26-A046-BEE042AF46ED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B15F-4D26-A046-BEE042AF4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B15F-4D26-A046-BEE042AF46ED}"/>
                </c:ex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4862736"/>
        <c:axId val="1764866000"/>
      </c:lineChart>
      <c:catAx>
        <c:axId val="17648627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866000"/>
        <c:crosses val="autoZero"/>
        <c:auto val="1"/>
        <c:lblAlgn val="ctr"/>
        <c:lblOffset val="100"/>
        <c:noMultiLvlLbl val="0"/>
      </c:catAx>
      <c:valAx>
        <c:axId val="176486600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86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20</xdr:row>
      <xdr:rowOff>89646</xdr:rowOff>
    </xdr:from>
    <xdr:to>
      <xdr:col>6</xdr:col>
      <xdr:colOff>481853</xdr:colOff>
      <xdr:row>31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ED72DD03-504B-41E2-83B3-7F8560B7B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D9FD367-38B7-4EE0-B901-23364E20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E7E93806-6D61-4A06-A6BC-166D72600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36FE83F3-4CF1-3F1A-F1E9-61122DFBE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59FEB4C3-0E1F-4CCE-A191-F3AD7375B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F8719E91-F559-4BDA-9D53-D4C22AF16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2FCD1153-263B-476F-AD02-B7552D142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32</xdr:row>
      <xdr:rowOff>9525</xdr:rowOff>
    </xdr:from>
    <xdr:to>
      <xdr:col>17</xdr:col>
      <xdr:colOff>9525</xdr:colOff>
      <xdr:row>55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6A8F8815-DA11-A40A-EB14-CBA2B2A55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6E4267C0-944C-45EF-A722-940F962E1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765C1C36-2C26-4B6A-B7BE-F5DA19D4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BD987387-0568-4480-90A3-BA17859F9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C9E6CED9-CF20-16AC-1325-15A287A47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25E0C796-6C75-4A80-8F3C-5018FBAE5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25F1D17-A8CF-4824-BFA0-65FE583E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81EBE053-EF85-4362-98B1-9D7CFEFC9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02FFACB4-211C-3A20-E260-4AD49A3041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4400BC7E-59E7-451A-9A37-39DFF4136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8C24B37A-2EFE-4300-8B91-AD08D06E5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5A37E029-295A-4AE3-82D3-FA3208F9D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38</xdr:row>
      <xdr:rowOff>136525</xdr:rowOff>
    </xdr:from>
    <xdr:to>
      <xdr:col>17</xdr:col>
      <xdr:colOff>9525</xdr:colOff>
      <xdr:row>62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CFEFD351-9624-CF16-C482-1941250F2A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D10DFFD2-29FD-437B-BDA4-8BF0C8B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E79E68B1-0858-4A63-9A92-525DF4336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5E548F38-F3F2-435F-B868-ADAA38255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F6A367F3-1570-CB9B-8583-B6D7711362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C8B9B42F-E91D-41C3-8F4B-7B194DF72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C2163BDC-9681-423C-88D8-0DE0008FA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2228EE2D-E243-4545-B79D-16AD92A3D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0BA59CFB-97B9-96B1-D390-83B523F11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DB7697A5-8804-43AA-B4A1-D960D16B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17DC153-91A1-44FF-AF7E-4007BD7B1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BF487DC9-892C-4BE8-9132-0E8F53D0E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73025</xdr:rowOff>
    </xdr:from>
    <xdr:to>
      <xdr:col>17</xdr:col>
      <xdr:colOff>9525</xdr:colOff>
      <xdr:row>52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F4B6634F-7237-9E6B-1FFE-25069493E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8D5A31B6-A2A0-40B0-9F03-9D45AE40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AD5DA2D4-1E6E-4935-8D13-384B68441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5E553EC-1B66-40C9-A24F-6CE1248BF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EBC5CD19-4467-518A-3C98-94F924C370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BATROS4\Users\Dossier%20Commun%20Cabinet%20MOEGLIN\Missions\2021\KERIALIS%20-%20Synth&#232;se%20sant&#233;%20-%20Controle%20SAGUI\Documents%20CRPS%20g&#233;n&#233;r&#233;s\_STANDARD_TOUS_PRODUITS_2021-10-27T13-47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Résultats"/>
      <sheetName val="Evolution effectifs"/>
      <sheetName val="Démographie"/>
      <sheetName val="Prestations Réglées"/>
      <sheetName val="Prestations Réglées Graph"/>
      <sheetName val="AUTRE"/>
      <sheetName val="CURE"/>
      <sheetName val="DENTA"/>
      <sheetName val="HOSPI"/>
      <sheetName val="MATER"/>
      <sheetName val="NON D"/>
      <sheetName val="OPTIQ"/>
      <sheetName val="PHARM"/>
      <sheetName val="PREVE"/>
      <sheetName val="SOINS"/>
      <sheetName val="Prestations Réglées N et N-1"/>
      <sheetName val="Prestations Réglées Moyennes"/>
      <sheetName val="Quartil garantie_1"/>
      <sheetName val="Quartil garantie_2"/>
      <sheetName val="Quartil garantie_3"/>
      <sheetName val="DATA DEMO"/>
      <sheetName val="DATA COT"/>
      <sheetName val="DATA PREST"/>
      <sheetName val="DATA EXP"/>
      <sheetName val="DATA PROV"/>
      <sheetName val="DATA QUARTILE"/>
      <sheetName val="AFFICHAGE"/>
      <sheetName val="COLLEGE"/>
      <sheetName val="Erreurs"/>
    </sheetNames>
    <sheetDataSet>
      <sheetData sheetId="0">
        <row r="13">
          <cell r="C13" t="str">
            <v>KERIALIS_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  <pageSetUpPr fitToPage="1"/>
  </sheetPr>
  <dimension ref="A1:AE41"/>
  <sheetViews>
    <sheetView showGridLines="0" topLeftCell="D1" zoomScale="70" zoomScaleNormal="70" workbookViewId="0">
      <selection activeCell="AC8" sqref="AC8"/>
    </sheetView>
  </sheetViews>
  <sheetFormatPr defaultColWidth="11.42578125" defaultRowHeight="15"/>
  <cols>
    <col min="1" max="1" width="2.85546875" style="72" customWidth="1"/>
    <col min="2" max="2" width="4.28515625" style="72" customWidth="1"/>
    <col min="3" max="3" width="11.42578125" style="72" customWidth="1"/>
    <col min="4" max="4" width="13.7109375" style="72" customWidth="1"/>
    <col min="5" max="9" width="11.42578125" style="72" customWidth="1"/>
    <col min="10" max="11" width="22.85546875" style="72" customWidth="1"/>
    <col min="12" max="18" width="11.42578125" style="72" customWidth="1"/>
    <col min="19" max="19" width="4.28515625" style="72" customWidth="1"/>
    <col min="20" max="20" width="2.85546875" style="72" customWidth="1"/>
    <col min="21" max="32" width="11.42578125" style="72" customWidth="1"/>
    <col min="33" max="16384" width="11.42578125" style="72"/>
  </cols>
  <sheetData>
    <row r="1" spans="2:31">
      <c r="AD1" s="72" t="s">
        <v>0</v>
      </c>
      <c r="AE1" s="72" t="s">
        <v>1</v>
      </c>
    </row>
    <row r="2" spans="2:31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5"/>
      <c r="AD2" s="72" t="s">
        <v>2</v>
      </c>
      <c r="AE2" s="72" t="s">
        <v>3</v>
      </c>
    </row>
    <row r="3" spans="2:31">
      <c r="B3" s="76"/>
      <c r="S3" s="77"/>
    </row>
    <row r="4" spans="2:31">
      <c r="B4" s="76"/>
      <c r="S4" s="77"/>
    </row>
    <row r="5" spans="2:31">
      <c r="B5" s="76"/>
      <c r="S5" s="77"/>
    </row>
    <row r="6" spans="2:31">
      <c r="B6" s="76"/>
      <c r="S6" s="77"/>
    </row>
    <row r="7" spans="2:31">
      <c r="B7" s="76"/>
      <c r="S7" s="77"/>
    </row>
    <row r="8" spans="2:31">
      <c r="B8" s="76"/>
      <c r="S8" s="77"/>
    </row>
    <row r="9" spans="2:31" ht="45">
      <c r="B9" s="76"/>
      <c r="C9" s="78" t="s">
        <v>4</v>
      </c>
      <c r="D9" s="79"/>
      <c r="E9" s="79"/>
      <c r="F9" s="79"/>
      <c r="G9" s="79"/>
      <c r="H9" s="79"/>
      <c r="I9" s="79"/>
      <c r="S9" s="77"/>
    </row>
    <row r="10" spans="2:31" ht="45">
      <c r="B10" s="76"/>
      <c r="C10" s="78" t="s">
        <v>5</v>
      </c>
      <c r="D10" s="79"/>
      <c r="E10" s="79"/>
      <c r="F10" s="79"/>
      <c r="G10" s="79"/>
      <c r="H10" s="79"/>
      <c r="I10" s="79"/>
      <c r="S10" s="77"/>
    </row>
    <row r="11" spans="2:31">
      <c r="B11" s="76"/>
      <c r="C11" s="79"/>
      <c r="D11" s="79"/>
      <c r="E11" s="79"/>
      <c r="F11" s="79"/>
      <c r="G11" s="79"/>
      <c r="H11" s="79"/>
      <c r="I11" s="79"/>
      <c r="S11" s="77"/>
    </row>
    <row r="12" spans="2:31" ht="15" customHeight="1">
      <c r="B12" s="76"/>
      <c r="C12" s="79"/>
      <c r="D12" s="79"/>
      <c r="E12" s="79"/>
      <c r="F12" s="79"/>
      <c r="G12" s="79"/>
      <c r="H12" s="79"/>
      <c r="I12" s="79"/>
      <c r="J12" s="80"/>
      <c r="S12" s="77"/>
    </row>
    <row r="13" spans="2:31" ht="90" customHeight="1">
      <c r="B13" s="81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5"/>
      <c r="P13" s="235"/>
      <c r="Q13" s="235"/>
      <c r="R13" s="235"/>
      <c r="S13" s="82"/>
    </row>
    <row r="14" spans="2:31">
      <c r="B14" s="76"/>
      <c r="C14" s="79"/>
      <c r="D14" s="79"/>
      <c r="E14" s="79"/>
      <c r="F14" s="79"/>
      <c r="G14" s="79"/>
      <c r="H14" s="79"/>
      <c r="I14" s="79"/>
      <c r="S14" s="77"/>
    </row>
    <row r="15" spans="2:31">
      <c r="B15" s="76"/>
      <c r="C15" s="79"/>
      <c r="D15" s="79"/>
      <c r="E15" s="79"/>
      <c r="F15" s="79"/>
      <c r="G15" s="79"/>
      <c r="H15" s="79"/>
      <c r="I15" s="79"/>
      <c r="S15" s="77"/>
    </row>
    <row r="16" spans="2:31">
      <c r="B16" s="76"/>
      <c r="S16" s="77"/>
    </row>
    <row r="17" spans="1:19">
      <c r="B17" s="76"/>
      <c r="S17" s="77"/>
    </row>
    <row r="18" spans="1:19">
      <c r="B18" s="76"/>
      <c r="S18" s="77"/>
    </row>
    <row r="19" spans="1:19" s="80" customFormat="1" ht="67.5" customHeight="1">
      <c r="A19" s="72"/>
      <c r="B19" s="83"/>
      <c r="C19" s="84"/>
      <c r="D19" s="85" t="s">
        <v>6</v>
      </c>
      <c r="F19" s="84" t="s">
        <v>7</v>
      </c>
      <c r="G19" s="236" t="s">
        <v>8</v>
      </c>
      <c r="H19" s="236"/>
      <c r="I19" s="236"/>
      <c r="J19" s="236"/>
      <c r="K19" s="236"/>
      <c r="L19" s="236"/>
      <c r="M19" s="236"/>
      <c r="N19" s="236"/>
      <c r="O19" s="236"/>
      <c r="P19" s="236"/>
      <c r="Q19" s="236"/>
      <c r="R19" s="236"/>
      <c r="S19" s="86"/>
    </row>
    <row r="20" spans="1:19" s="80" customFormat="1" ht="67.5" customHeight="1">
      <c r="A20" s="72"/>
      <c r="B20" s="83"/>
      <c r="C20" s="84"/>
      <c r="D20" s="85" t="s">
        <v>9</v>
      </c>
      <c r="F20" s="87"/>
      <c r="G20" s="85" t="s">
        <v>10</v>
      </c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6"/>
    </row>
    <row r="21" spans="1:19">
      <c r="B21" s="76"/>
      <c r="C21" s="79"/>
      <c r="D21" s="88"/>
      <c r="E21" s="79"/>
      <c r="F21" s="79"/>
      <c r="G21" s="79"/>
      <c r="H21" s="79"/>
      <c r="I21" s="79"/>
      <c r="S21" s="77"/>
    </row>
    <row r="22" spans="1:19" s="80" customFormat="1" ht="33.75">
      <c r="A22" s="72"/>
      <c r="B22" s="83"/>
      <c r="C22" s="84"/>
      <c r="D22" s="89" t="s">
        <v>11</v>
      </c>
      <c r="E22" s="84"/>
      <c r="G22" s="84"/>
      <c r="H22" s="90" t="s">
        <v>12</v>
      </c>
      <c r="I22" s="91"/>
      <c r="S22" s="86"/>
    </row>
    <row r="23" spans="1:19" s="80" customFormat="1" ht="33.75">
      <c r="A23" s="72"/>
      <c r="B23" s="83"/>
      <c r="C23" s="84"/>
      <c r="D23" s="89" t="s">
        <v>13</v>
      </c>
      <c r="E23" s="84"/>
      <c r="F23" s="84"/>
      <c r="H23" s="84"/>
      <c r="J23" s="90" t="s">
        <v>14</v>
      </c>
      <c r="S23" s="86"/>
    </row>
    <row r="24" spans="1:19" ht="25.5">
      <c r="B24" s="76"/>
      <c r="D24" s="217" t="str">
        <f>+AFFICHAGE!S2</f>
        <v>Survenance</v>
      </c>
      <c r="S24" s="77"/>
    </row>
    <row r="25" spans="1:19">
      <c r="B25" s="76"/>
      <c r="S25" s="77"/>
    </row>
    <row r="26" spans="1:19" ht="15" hidden="1" customHeight="1">
      <c r="B26" s="76"/>
      <c r="S26" s="77"/>
    </row>
    <row r="27" spans="1:19" ht="15" hidden="1" customHeight="1">
      <c r="B27" s="76"/>
      <c r="S27" s="77"/>
    </row>
    <row r="28" spans="1:19">
      <c r="B28" s="76"/>
      <c r="S28" s="77"/>
    </row>
    <row r="29" spans="1:19">
      <c r="B29" s="76"/>
      <c r="S29" s="77"/>
    </row>
    <row r="30" spans="1:19" hidden="1">
      <c r="B30" s="76"/>
      <c r="S30" s="77"/>
    </row>
    <row r="31" spans="1:19" hidden="1">
      <c r="B31" s="76"/>
      <c r="S31" s="77"/>
    </row>
    <row r="32" spans="1:19" hidden="1">
      <c r="B32" s="76"/>
      <c r="S32" s="77"/>
    </row>
    <row r="33" spans="2:19">
      <c r="B33" s="76"/>
      <c r="S33" s="77"/>
    </row>
    <row r="34" spans="2:19" hidden="1">
      <c r="B34" s="76"/>
      <c r="S34" s="77"/>
    </row>
    <row r="35" spans="2:19" hidden="1">
      <c r="B35" s="76"/>
      <c r="S35" s="77"/>
    </row>
    <row r="36" spans="2:19" hidden="1">
      <c r="B36" s="76"/>
      <c r="S36" s="77"/>
    </row>
    <row r="37" spans="2:19" hidden="1">
      <c r="B37" s="76"/>
      <c r="S37" s="77"/>
    </row>
    <row r="38" spans="2:19">
      <c r="B38" s="76"/>
      <c r="S38" s="77"/>
    </row>
    <row r="39" spans="2:19">
      <c r="B39" s="76"/>
      <c r="S39" s="77"/>
    </row>
    <row r="40" spans="2:19" ht="7.5" customHeight="1">
      <c r="B40" s="76"/>
      <c r="S40" s="77"/>
    </row>
    <row r="41" spans="2:19">
      <c r="B41" s="92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4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92D050"/>
    <pageSetUpPr fitToPage="1"/>
  </sheetPr>
  <dimension ref="A1:H3"/>
  <sheetViews>
    <sheetView zoomScaleNormal="100" workbookViewId="0">
      <selection activeCell="A22" sqref="A22:H22"/>
    </sheetView>
  </sheetViews>
  <sheetFormatPr defaultColWidth="11.28515625" defaultRowHeight="15"/>
  <cols>
    <col min="1" max="1" width="10.7109375" style="141" bestFit="1" customWidth="1"/>
    <col min="2" max="2" width="13.7109375" style="141" bestFit="1" customWidth="1"/>
    <col min="3" max="3" width="13.85546875" style="141" bestFit="1" customWidth="1"/>
    <col min="4" max="4" width="21.5703125" style="141" bestFit="1" customWidth="1"/>
    <col min="5" max="5" width="16" style="141" bestFit="1" customWidth="1"/>
    <col min="6" max="6" width="21.140625" style="141" bestFit="1" customWidth="1"/>
    <col min="7" max="7" width="17.140625" style="141" bestFit="1" customWidth="1"/>
    <col min="8" max="8" width="15.140625" style="141" bestFit="1" customWidth="1"/>
    <col min="9" max="10" width="11.28515625" style="141" customWidth="1"/>
    <col min="11" max="16384" width="11.28515625" style="141"/>
  </cols>
  <sheetData>
    <row r="1" spans="1:8">
      <c r="A1" s="237" t="s">
        <v>15</v>
      </c>
      <c r="B1" s="237"/>
      <c r="C1" s="237"/>
      <c r="D1" s="237"/>
      <c r="E1" s="237"/>
      <c r="F1" s="237"/>
      <c r="G1" s="237"/>
      <c r="H1" s="237"/>
    </row>
    <row r="2" spans="1:8" s="219" customFormat="1">
      <c r="A2" s="218" t="s">
        <v>16</v>
      </c>
      <c r="B2" s="218" t="s">
        <v>17</v>
      </c>
      <c r="C2" s="218" t="s">
        <v>18</v>
      </c>
      <c r="D2" s="218" t="s">
        <v>19</v>
      </c>
      <c r="E2" s="218" t="s">
        <v>20</v>
      </c>
      <c r="F2" s="218" t="s">
        <v>21</v>
      </c>
      <c r="G2" s="218" t="s">
        <v>22</v>
      </c>
      <c r="H2" s="218" t="s">
        <v>23</v>
      </c>
    </row>
    <row r="3" spans="1:8">
      <c r="A3" s="141" t="s">
        <v>24</v>
      </c>
      <c r="B3" s="141" t="s">
        <v>25</v>
      </c>
      <c r="C3" s="141" t="s">
        <v>26</v>
      </c>
      <c r="D3" s="141" t="s">
        <v>26</v>
      </c>
      <c r="E3" s="141" t="s">
        <v>26</v>
      </c>
      <c r="F3" s="141" t="s">
        <v>26</v>
      </c>
      <c r="G3" s="141" t="s">
        <v>27</v>
      </c>
      <c r="H3" s="141" t="s">
        <v>28</v>
      </c>
    </row>
  </sheetData>
  <mergeCells count="1"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  <pageSetUpPr fitToPage="1"/>
  </sheetPr>
  <dimension ref="A1:T38"/>
  <sheetViews>
    <sheetView showGridLines="0" zoomScale="70" zoomScaleNormal="70" workbookViewId="0">
      <selection activeCell="G28" sqref="G28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style="37" customWidth="1"/>
    <col min="8" max="8" width="2.85546875" style="37" customWidth="1"/>
    <col min="9" max="9" width="22.85546875" style="37" customWidth="1"/>
    <col min="10" max="10" width="2.85546875" style="37" customWidth="1"/>
    <col min="11" max="11" width="22.85546875" style="37" customWidth="1"/>
    <col min="12" max="12" width="2.85546875" style="37" customWidth="1"/>
    <col min="13" max="13" width="22.85546875" style="37" customWidth="1"/>
    <col min="14" max="14" width="2.85546875" style="37" customWidth="1"/>
    <col min="15" max="15" width="22.85546875" style="37" customWidth="1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7" width="11.42578125" customWidth="1"/>
  </cols>
  <sheetData>
    <row r="1" spans="2:20" ht="15" customHeight="1">
      <c r="B1" s="5"/>
      <c r="C1" s="5"/>
      <c r="D1" s="5"/>
      <c r="E1" s="5"/>
      <c r="F1" s="5"/>
      <c r="G1" s="36"/>
      <c r="H1" s="36"/>
      <c r="I1" s="36"/>
      <c r="J1" s="36"/>
      <c r="K1" s="36"/>
      <c r="L1" s="36"/>
      <c r="M1" s="36"/>
      <c r="N1" s="36"/>
      <c r="O1" s="36"/>
      <c r="P1" s="5"/>
      <c r="Q1" s="5"/>
      <c r="R1" s="5"/>
      <c r="S1" s="5"/>
      <c r="T1" s="5"/>
    </row>
    <row r="2" spans="2:20" ht="15" customHeight="1">
      <c r="B2" s="48"/>
      <c r="C2" s="49"/>
      <c r="D2" s="49"/>
      <c r="E2" s="49"/>
      <c r="F2" s="49"/>
      <c r="G2" s="53"/>
      <c r="H2" s="53"/>
      <c r="I2" s="53"/>
      <c r="J2" s="53"/>
      <c r="K2" s="53"/>
      <c r="L2" s="53"/>
      <c r="M2" s="53"/>
      <c r="N2" s="53"/>
      <c r="O2" s="53"/>
      <c r="P2" s="49"/>
      <c r="Q2" s="49"/>
      <c r="R2" s="49"/>
      <c r="S2" s="50"/>
    </row>
    <row r="3" spans="2:20" ht="15" customHeight="1">
      <c r="B3" s="2"/>
      <c r="S3" s="51"/>
    </row>
    <row r="4" spans="2:20" ht="15" customHeight="1">
      <c r="B4" s="2"/>
      <c r="S4" s="51"/>
    </row>
    <row r="5" spans="2:20" ht="15" customHeight="1">
      <c r="B5" s="2"/>
      <c r="S5" s="51"/>
    </row>
    <row r="6" spans="2:20" ht="15" hidden="1" customHeight="1">
      <c r="B6" s="2"/>
      <c r="S6" s="51"/>
    </row>
    <row r="7" spans="2:20" ht="15" hidden="1" customHeight="1">
      <c r="B7" s="2"/>
      <c r="S7" s="51"/>
    </row>
    <row r="8" spans="2:20" ht="60" customHeight="1">
      <c r="B8" s="2"/>
      <c r="C8" s="238" t="str">
        <f>'Page de garde'!C13&amp;" : Résultats"</f>
        <v xml:space="preserve"> : Résultats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51"/>
    </row>
    <row r="9" spans="2:20" ht="15" customHeight="1">
      <c r="B9" s="2"/>
      <c r="S9" s="51"/>
    </row>
    <row r="10" spans="2:20" ht="15" customHeight="1">
      <c r="B10" s="2"/>
      <c r="S10" s="51"/>
    </row>
    <row r="11" spans="2:20" ht="15" customHeight="1">
      <c r="B11" s="2"/>
      <c r="S11" s="51"/>
    </row>
    <row r="12" spans="2:20" ht="15" customHeight="1">
      <c r="B12" s="2"/>
      <c r="S12" s="51"/>
    </row>
    <row r="13" spans="2:20" ht="15" customHeight="1">
      <c r="B13" s="2"/>
      <c r="C13" s="95" t="s">
        <v>29</v>
      </c>
      <c r="D13" s="96"/>
      <c r="E13" s="97" t="str">
        <f>'Page de garde'!J23</f>
        <v>31 décembre 2021</v>
      </c>
      <c r="F13" s="7"/>
      <c r="G13" s="38"/>
      <c r="H13" s="38"/>
      <c r="I13" s="39"/>
      <c r="J13" s="39"/>
      <c r="K13" s="39"/>
      <c r="L13" s="39"/>
      <c r="M13" s="39"/>
      <c r="N13" s="39"/>
      <c r="O13" s="39"/>
      <c r="P13" s="7"/>
      <c r="Q13" s="7"/>
      <c r="R13" s="11"/>
      <c r="S13" s="51"/>
    </row>
    <row r="14" spans="2:20" ht="15" customHeight="1">
      <c r="B14" s="2"/>
      <c r="C14" s="7"/>
      <c r="D14" s="7"/>
      <c r="E14" s="7"/>
      <c r="F14" s="7"/>
      <c r="G14" s="39"/>
      <c r="H14" s="39"/>
      <c r="I14" s="39"/>
      <c r="J14" s="39"/>
      <c r="K14" s="39"/>
      <c r="L14" s="39"/>
      <c r="M14" s="39"/>
      <c r="N14" s="39"/>
      <c r="O14" s="39"/>
      <c r="P14" s="7"/>
      <c r="Q14" s="7"/>
      <c r="R14" s="11"/>
      <c r="S14" s="51"/>
    </row>
    <row r="15" spans="2:20" ht="54.75" customHeight="1">
      <c r="B15" s="2"/>
      <c r="C15" s="7"/>
      <c r="D15" s="7"/>
      <c r="E15" s="7"/>
      <c r="F15" s="8"/>
      <c r="G15" s="98" t="s">
        <v>17</v>
      </c>
      <c r="H15" s="40"/>
      <c r="I15" s="98" t="s">
        <v>18</v>
      </c>
      <c r="J15" s="40"/>
      <c r="K15" s="98" t="s">
        <v>19</v>
      </c>
      <c r="L15" s="40"/>
      <c r="M15" s="98" t="s">
        <v>30</v>
      </c>
      <c r="N15" s="40"/>
      <c r="O15" s="98" t="s">
        <v>21</v>
      </c>
      <c r="P15" s="8"/>
      <c r="Q15" s="99" t="s">
        <v>31</v>
      </c>
      <c r="R15" s="11"/>
      <c r="S15" s="51"/>
    </row>
    <row r="16" spans="2:20" ht="22.5" customHeight="1">
      <c r="B16" s="2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11"/>
      <c r="S16" s="51"/>
    </row>
    <row r="17" spans="2:19" ht="22.5" customHeight="1">
      <c r="B17" s="2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11"/>
      <c r="S17" s="51"/>
    </row>
    <row r="18" spans="2:19" ht="22.5" customHeight="1">
      <c r="B18" s="2"/>
      <c r="C18" s="7"/>
      <c r="D18" s="7"/>
      <c r="E18" s="7"/>
      <c r="F18" s="7"/>
      <c r="G18" s="39"/>
      <c r="H18" s="7"/>
      <c r="I18" s="7"/>
      <c r="J18" s="7"/>
      <c r="K18" s="7"/>
      <c r="L18" s="7"/>
      <c r="M18" s="7"/>
      <c r="N18" s="7"/>
      <c r="O18" s="7"/>
      <c r="P18" s="7"/>
      <c r="Q18" s="7"/>
      <c r="R18" s="11"/>
      <c r="S18" s="51"/>
    </row>
    <row r="19" spans="2:19" ht="22.5" customHeight="1">
      <c r="B19" s="2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1"/>
      <c r="S19" s="51"/>
    </row>
    <row r="20" spans="2:19" ht="22.5" customHeight="1">
      <c r="B20" s="2"/>
      <c r="C20" s="100">
        <v>2021</v>
      </c>
      <c r="D20" s="7"/>
      <c r="E20" s="101" t="s">
        <v>32</v>
      </c>
      <c r="F20" s="7"/>
      <c r="G20" s="41">
        <v>488082.11</v>
      </c>
      <c r="H20" s="40"/>
      <c r="I20" s="41">
        <v>24648.15</v>
      </c>
      <c r="J20" s="40"/>
      <c r="K20" s="41">
        <v>34892.910000000003</v>
      </c>
      <c r="L20" s="40"/>
      <c r="M20" s="220">
        <v>0.22700000000000001</v>
      </c>
      <c r="N20" s="40"/>
      <c r="O20" s="41">
        <v>26971.85</v>
      </c>
      <c r="P20" s="8"/>
      <c r="Q20" s="220">
        <v>19.009799999999998</v>
      </c>
      <c r="R20" s="11"/>
      <c r="S20" s="51"/>
    </row>
    <row r="21" spans="2:19" ht="22.5" customHeight="1">
      <c r="B21" s="2"/>
      <c r="C21" s="6"/>
      <c r="D21" s="7"/>
      <c r="E21" s="102"/>
      <c r="F21" s="7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11"/>
      <c r="S21" s="51"/>
    </row>
    <row r="22" spans="2:19" ht="22.5" customHeight="1">
      <c r="B22" s="2"/>
      <c r="C22" s="6"/>
      <c r="D22" s="7"/>
      <c r="E22" s="46"/>
      <c r="F22" s="7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11"/>
      <c r="S22" s="51"/>
    </row>
    <row r="23" spans="2:19" ht="22.5" customHeight="1">
      <c r="B23" s="2"/>
      <c r="C23" s="6"/>
      <c r="D23" s="7"/>
      <c r="E23" s="6"/>
      <c r="F23" s="7"/>
      <c r="G23" s="42"/>
      <c r="H23" s="42"/>
      <c r="I23" s="42"/>
      <c r="J23" s="42"/>
      <c r="K23" s="43"/>
      <c r="L23" s="42"/>
      <c r="M23" s="43"/>
      <c r="N23" s="42"/>
      <c r="O23" s="43"/>
      <c r="P23" s="9"/>
      <c r="Q23" s="10"/>
      <c r="R23" s="11"/>
      <c r="S23" s="51"/>
    </row>
    <row r="24" spans="2:19" ht="22.5" customHeight="1">
      <c r="B24" s="2"/>
      <c r="C24" s="6"/>
      <c r="D24" s="7"/>
      <c r="E24" s="6"/>
      <c r="F24" s="7"/>
      <c r="G24" s="42"/>
      <c r="H24" s="42"/>
      <c r="I24" s="42"/>
      <c r="J24" s="42"/>
      <c r="K24" s="43"/>
      <c r="L24" s="42"/>
      <c r="M24" s="43"/>
      <c r="N24" s="42"/>
      <c r="O24" s="43"/>
      <c r="P24" s="9"/>
      <c r="Q24" s="10"/>
      <c r="R24" s="11"/>
      <c r="S24" s="51"/>
    </row>
    <row r="25" spans="2:19" ht="22.5" customHeight="1">
      <c r="B25" s="2"/>
      <c r="C25" s="100">
        <v>2020</v>
      </c>
      <c r="D25" s="7"/>
      <c r="E25" s="101" t="s">
        <v>32</v>
      </c>
      <c r="F25" s="7"/>
      <c r="G25" s="41">
        <v>0</v>
      </c>
      <c r="H25" s="40"/>
      <c r="I25" s="41">
        <v>0</v>
      </c>
      <c r="J25" s="40"/>
      <c r="K25" s="41">
        <v>148881.63</v>
      </c>
      <c r="L25" s="40"/>
      <c r="M25" s="220">
        <v>0.28139999999999998</v>
      </c>
      <c r="N25" s="40"/>
      <c r="O25" s="41">
        <v>106991.87</v>
      </c>
      <c r="P25" s="8"/>
      <c r="Q25" s="220">
        <v>0</v>
      </c>
      <c r="R25" s="11"/>
      <c r="S25" s="51"/>
    </row>
    <row r="26" spans="2:19" ht="22.5" customHeight="1">
      <c r="B26" s="2"/>
      <c r="C26" s="6"/>
      <c r="D26" s="7"/>
      <c r="E26" s="102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11"/>
      <c r="S26" s="51"/>
    </row>
    <row r="27" spans="2:19" ht="22.5" customHeight="1">
      <c r="B27" s="2"/>
      <c r="C27" s="6"/>
      <c r="D27" s="7"/>
      <c r="E27" s="103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11"/>
      <c r="S27" s="51"/>
    </row>
    <row r="28" spans="2:19" ht="22.5" customHeight="1">
      <c r="B28" s="2"/>
      <c r="C28" s="6"/>
      <c r="D28" s="7"/>
      <c r="E28" s="102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11"/>
      <c r="S28" s="51"/>
    </row>
    <row r="29" spans="2:19" ht="12.6" customHeight="1">
      <c r="B29" s="2"/>
      <c r="C29" s="6"/>
      <c r="D29" s="7"/>
      <c r="E29" s="46"/>
      <c r="F29" s="7"/>
      <c r="G29" s="40"/>
      <c r="H29" s="40"/>
      <c r="I29" s="47"/>
      <c r="J29" s="40"/>
      <c r="K29" s="40"/>
      <c r="L29" s="40"/>
      <c r="M29" s="40"/>
      <c r="N29" s="40"/>
      <c r="O29" s="40"/>
      <c r="P29" s="8"/>
      <c r="Q29" s="47"/>
      <c r="R29" s="11"/>
      <c r="S29" s="51"/>
    </row>
    <row r="30" spans="2:19" ht="8.85" customHeight="1">
      <c r="B30" s="2"/>
      <c r="C30" s="6"/>
      <c r="D30" s="7"/>
      <c r="E30" s="46"/>
      <c r="F30" s="7"/>
      <c r="G30" s="40"/>
      <c r="H30" s="40"/>
      <c r="I30" s="47"/>
      <c r="J30" s="40"/>
      <c r="K30" s="40"/>
      <c r="L30" s="40"/>
      <c r="M30" s="40"/>
      <c r="N30" s="40"/>
      <c r="O30" s="40"/>
      <c r="P30" s="8"/>
      <c r="Q30" s="47"/>
      <c r="R30" s="11"/>
      <c r="S30" s="51"/>
    </row>
    <row r="31" spans="2:19" ht="22.5" customHeight="1">
      <c r="B31" s="2"/>
      <c r="C31" s="104" t="s">
        <v>33</v>
      </c>
      <c r="D31" s="105"/>
      <c r="E31" s="106"/>
      <c r="F31" s="105"/>
      <c r="G31" s="107"/>
      <c r="H31" s="107"/>
      <c r="I31" s="107"/>
      <c r="J31" s="107"/>
      <c r="K31" s="108"/>
      <c r="L31" s="107"/>
      <c r="M31" s="108"/>
      <c r="N31" s="107"/>
      <c r="O31" s="108"/>
      <c r="P31" s="109"/>
      <c r="Q31" s="110"/>
      <c r="R31" s="111"/>
      <c r="S31" s="51"/>
    </row>
    <row r="32" spans="2:19" ht="22.5" customHeight="1">
      <c r="B32" s="2"/>
      <c r="C32" s="104" t="s">
        <v>34</v>
      </c>
      <c r="D32" s="105"/>
      <c r="E32" s="106"/>
      <c r="F32" s="105"/>
      <c r="G32" s="107"/>
      <c r="H32" s="107"/>
      <c r="I32" s="107"/>
      <c r="J32" s="107"/>
      <c r="K32" s="108"/>
      <c r="L32" s="107"/>
      <c r="M32" s="108"/>
      <c r="N32" s="107"/>
      <c r="O32" s="108"/>
      <c r="P32" s="109"/>
      <c r="Q32" s="110"/>
      <c r="R32" s="111"/>
      <c r="S32" s="51"/>
    </row>
    <row r="33" spans="2:19" ht="22.5" customHeight="1">
      <c r="B33" s="2"/>
      <c r="C33" s="242" t="s">
        <v>35</v>
      </c>
      <c r="D33" s="242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51"/>
    </row>
    <row r="34" spans="2:19" ht="18.75">
      <c r="B34" s="2"/>
      <c r="C34" s="12"/>
      <c r="D34" s="7"/>
      <c r="E34" s="6"/>
      <c r="F34" s="7"/>
      <c r="G34" s="42"/>
      <c r="H34" s="42"/>
      <c r="I34" s="42"/>
      <c r="J34" s="42"/>
      <c r="K34" s="43"/>
      <c r="L34" s="42"/>
      <c r="M34" s="43"/>
      <c r="N34" s="42"/>
      <c r="O34" s="43"/>
      <c r="P34" s="9"/>
      <c r="Q34" s="10"/>
      <c r="R34" s="11"/>
      <c r="S34" s="51"/>
    </row>
    <row r="35" spans="2:19" ht="32.450000000000003" customHeight="1">
      <c r="B35" s="2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41"/>
      <c r="S35" s="51"/>
    </row>
    <row r="36" spans="2:19" ht="22.5" customHeight="1">
      <c r="B36" s="2"/>
      <c r="C36" s="6"/>
      <c r="D36" s="7"/>
      <c r="E36" s="7"/>
      <c r="F36" s="7"/>
      <c r="G36" s="39"/>
      <c r="H36" s="39"/>
      <c r="I36" s="39"/>
      <c r="J36" s="39"/>
      <c r="K36" s="39"/>
      <c r="L36" s="39"/>
      <c r="M36" s="39"/>
      <c r="N36" s="39"/>
      <c r="O36" s="39"/>
      <c r="P36" s="7"/>
      <c r="Q36" s="7"/>
      <c r="R36" s="11"/>
      <c r="S36" s="51"/>
    </row>
    <row r="37" spans="2:19" ht="32.450000000000003" customHeight="1">
      <c r="B37" s="2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39"/>
      <c r="O37" s="39"/>
      <c r="P37" s="7"/>
      <c r="Q37" s="7"/>
      <c r="R37" s="11"/>
      <c r="S37" s="51"/>
    </row>
    <row r="38" spans="2:19" ht="15" customHeight="1">
      <c r="B38" s="3"/>
      <c r="C38" s="4"/>
      <c r="D38" s="4"/>
      <c r="E38" s="4"/>
      <c r="F38" s="4"/>
      <c r="G38" s="44"/>
      <c r="H38" s="44"/>
      <c r="I38" s="44"/>
      <c r="J38" s="44"/>
      <c r="K38" s="44"/>
      <c r="L38" s="44"/>
      <c r="M38" s="44"/>
      <c r="N38" s="44"/>
      <c r="O38" s="44"/>
      <c r="P38" s="4"/>
      <c r="Q38" s="4"/>
      <c r="R38" s="4"/>
      <c r="S38" s="52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4" tint="0.79998168889431442"/>
    <pageSetUpPr fitToPage="1"/>
  </sheetPr>
  <dimension ref="A1:AD33"/>
  <sheetViews>
    <sheetView showGridLines="0" topLeftCell="A8" zoomScale="85" zoomScaleNormal="85" workbookViewId="0">
      <selection activeCell="A15" sqref="A15:XFD15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35.7109375" customWidth="1"/>
    <col min="4" max="11" width="21.28515625" customWidth="1"/>
    <col min="12" max="12" width="4.28515625" customWidth="1"/>
    <col min="13" max="13" width="2.85546875" customWidth="1"/>
    <col min="14" max="17" width="11.42578125" customWidth="1"/>
    <col min="18" max="18" width="22.5703125" bestFit="1" customWidth="1"/>
    <col min="19" max="26" width="11.42578125" customWidth="1"/>
    <col min="27" max="27" width="19.140625" bestFit="1" customWidth="1"/>
    <col min="28" max="28" width="12.7109375" bestFit="1" customWidth="1"/>
    <col min="29" max="29" width="10.5703125" bestFit="1" customWidth="1"/>
    <col min="30" max="36" width="11.42578125" customWidth="1"/>
  </cols>
  <sheetData>
    <row r="1" spans="1:30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30">
      <c r="B2" s="48"/>
      <c r="C2" s="49"/>
      <c r="D2" s="49"/>
      <c r="E2" s="49"/>
      <c r="F2" s="49"/>
      <c r="G2" s="49"/>
      <c r="H2" s="49"/>
      <c r="I2" s="49"/>
      <c r="J2" s="49"/>
      <c r="K2" s="49"/>
      <c r="L2" s="50"/>
      <c r="P2" s="54"/>
    </row>
    <row r="3" spans="1:30">
      <c r="B3" s="2"/>
      <c r="L3" s="51"/>
    </row>
    <row r="4" spans="1:30">
      <c r="B4" s="2"/>
      <c r="L4" s="51"/>
    </row>
    <row r="5" spans="1:30">
      <c r="B5" s="2"/>
      <c r="L5" s="51"/>
    </row>
    <row r="6" spans="1:30" hidden="1">
      <c r="B6" s="2"/>
      <c r="L6" s="51"/>
    </row>
    <row r="7" spans="1:30">
      <c r="B7" s="2"/>
      <c r="L7" s="51"/>
    </row>
    <row r="8" spans="1:30" ht="60" customHeight="1">
      <c r="B8" s="2"/>
      <c r="C8" s="238" t="str">
        <f>'Page de garde'!C13&amp;" : Nombre d'Assurés par société"</f>
        <v xml:space="preserve"> : Nombre d'Assurés par société</v>
      </c>
      <c r="D8" s="239"/>
      <c r="E8" s="239"/>
      <c r="F8" s="239"/>
      <c r="G8" s="239"/>
      <c r="H8" s="239"/>
      <c r="I8" s="239"/>
      <c r="J8" s="239"/>
      <c r="K8" s="240"/>
      <c r="L8" s="51"/>
    </row>
    <row r="9" spans="1:30" hidden="1">
      <c r="B9" s="2"/>
      <c r="L9" s="51"/>
    </row>
    <row r="10" spans="1:30">
      <c r="B10" s="2"/>
      <c r="L10" s="51"/>
    </row>
    <row r="11" spans="1:30" ht="18.75" customHeight="1">
      <c r="B11" s="2"/>
      <c r="C11" s="167" t="s">
        <v>36</v>
      </c>
      <c r="L11" s="51"/>
    </row>
    <row r="12" spans="1:30" ht="22.5" customHeight="1">
      <c r="B12" s="2"/>
      <c r="L12" s="51"/>
    </row>
    <row r="13" spans="1:30" s="192" customFormat="1" ht="22.5" customHeight="1">
      <c r="A13" s="190"/>
      <c r="B13" s="191"/>
      <c r="D13" s="243" t="s">
        <v>37</v>
      </c>
      <c r="E13" s="244"/>
      <c r="F13" s="193" t="s">
        <v>38</v>
      </c>
      <c r="G13" s="163" t="s">
        <v>39</v>
      </c>
      <c r="H13" s="194"/>
      <c r="I13" s="194"/>
      <c r="J13" s="194"/>
      <c r="K13" s="194"/>
      <c r="L13" s="195"/>
      <c r="AA13" s="205"/>
      <c r="AB13" s="206" t="s">
        <v>40</v>
      </c>
      <c r="AC13" s="206" t="s">
        <v>41</v>
      </c>
    </row>
    <row r="14" spans="1:30" s="203" customFormat="1" ht="14.25" customHeight="1">
      <c r="A14" s="196"/>
      <c r="B14" s="197"/>
      <c r="C14" s="198"/>
      <c r="D14" s="199" t="s">
        <v>40</v>
      </c>
      <c r="E14" s="200" t="s">
        <v>41</v>
      </c>
      <c r="F14" s="201"/>
      <c r="G14" s="200" t="s">
        <v>42</v>
      </c>
      <c r="H14" s="194"/>
      <c r="I14" s="194"/>
      <c r="J14" s="194"/>
      <c r="K14" s="194"/>
      <c r="L14" s="202"/>
      <c r="R14" s="204"/>
      <c r="Z14" s="205"/>
      <c r="AA14" s="205"/>
      <c r="AB14" s="205">
        <v>0</v>
      </c>
      <c r="AC14" s="205">
        <v>0</v>
      </c>
      <c r="AD14" s="207"/>
    </row>
    <row r="15" spans="1:30" s="203" customFormat="1" ht="14.25" customHeight="1">
      <c r="A15" s="196"/>
      <c r="B15" s="197"/>
      <c r="C15" s="208"/>
      <c r="D15" s="209">
        <v>0</v>
      </c>
      <c r="E15" s="209">
        <v>0</v>
      </c>
      <c r="F15" s="210"/>
      <c r="G15" s="210"/>
      <c r="H15" s="194"/>
      <c r="I15" s="194"/>
      <c r="J15" s="194"/>
      <c r="K15" s="194"/>
      <c r="L15" s="202"/>
      <c r="Z15" s="205"/>
      <c r="AA15" s="205"/>
      <c r="AB15" s="205"/>
      <c r="AC15" s="205"/>
      <c r="AD15" s="207"/>
    </row>
    <row r="16" spans="1:30" s="203" customFormat="1" ht="14.25" customHeight="1">
      <c r="A16" s="196"/>
      <c r="B16" s="197"/>
      <c r="C16" s="211" t="s">
        <v>43</v>
      </c>
      <c r="D16" s="212">
        <v>0</v>
      </c>
      <c r="E16" s="212">
        <v>0</v>
      </c>
      <c r="F16" s="213"/>
      <c r="G16" s="213"/>
      <c r="H16" s="194"/>
      <c r="I16" s="194"/>
      <c r="J16" s="194"/>
      <c r="K16" s="194"/>
      <c r="L16" s="202"/>
      <c r="Z16" s="205"/>
      <c r="AA16" s="205"/>
      <c r="AB16" s="205"/>
      <c r="AC16" s="205"/>
      <c r="AD16" s="207"/>
    </row>
    <row r="17" spans="1:30" s="203" customFormat="1" ht="14.25" customHeight="1">
      <c r="A17" s="196"/>
      <c r="B17" s="197"/>
      <c r="C17" s="211" t="s">
        <v>44</v>
      </c>
      <c r="D17" s="212">
        <v>0</v>
      </c>
      <c r="E17" s="212">
        <v>0</v>
      </c>
      <c r="F17" s="213"/>
      <c r="G17" s="213"/>
      <c r="H17" s="194"/>
      <c r="I17" s="194"/>
      <c r="J17" s="194"/>
      <c r="K17" s="194"/>
      <c r="L17" s="202"/>
      <c r="Z17" s="205"/>
      <c r="AA17" s="205"/>
      <c r="AB17" s="205"/>
      <c r="AC17" s="205"/>
      <c r="AD17" s="207"/>
    </row>
    <row r="18" spans="1:30" s="203" customFormat="1" ht="14.25" customHeight="1">
      <c r="A18" s="196"/>
      <c r="B18" s="197"/>
      <c r="C18" s="211" t="s">
        <v>45</v>
      </c>
      <c r="D18" s="212">
        <v>0</v>
      </c>
      <c r="E18" s="212">
        <v>0</v>
      </c>
      <c r="F18" s="213"/>
      <c r="G18" s="213"/>
      <c r="H18" s="194"/>
      <c r="I18" s="194"/>
      <c r="J18" s="194"/>
      <c r="K18" s="194"/>
      <c r="L18" s="202"/>
      <c r="Z18" s="205"/>
      <c r="AA18" s="205"/>
      <c r="AB18" s="205"/>
      <c r="AC18" s="205"/>
      <c r="AD18" s="207"/>
    </row>
    <row r="19" spans="1:30" s="203" customFormat="1" ht="14.25" customHeight="1">
      <c r="A19" s="196"/>
      <c r="B19" s="197"/>
      <c r="C19" s="214" t="s">
        <v>46</v>
      </c>
      <c r="D19" s="159">
        <v>0</v>
      </c>
      <c r="E19" s="159">
        <v>0</v>
      </c>
      <c r="F19" s="160"/>
      <c r="G19" s="160"/>
      <c r="H19" s="194"/>
      <c r="I19" s="194"/>
      <c r="J19" s="194"/>
      <c r="K19" s="194"/>
      <c r="L19" s="202"/>
    </row>
    <row r="20" spans="1:30" ht="14.25" customHeight="1">
      <c r="B20" s="2"/>
      <c r="L20" s="51"/>
    </row>
    <row r="21" spans="1:30" ht="14.25" customHeight="1">
      <c r="B21" s="2"/>
      <c r="L21" s="51"/>
    </row>
    <row r="22" spans="1:30" ht="14.25" customHeight="1">
      <c r="B22" s="2"/>
      <c r="L22" s="51"/>
    </row>
    <row r="23" spans="1:30" ht="14.25" customHeight="1">
      <c r="B23" s="2"/>
      <c r="L23" s="51"/>
    </row>
    <row r="24" spans="1:30" ht="14.25" customHeight="1">
      <c r="B24" s="2"/>
      <c r="L24" s="51"/>
    </row>
    <row r="25" spans="1:30" ht="14.25" customHeight="1">
      <c r="B25" s="2"/>
      <c r="L25" s="51"/>
    </row>
    <row r="26" spans="1:30" ht="14.25" customHeight="1">
      <c r="B26" s="2"/>
      <c r="L26" s="51"/>
    </row>
    <row r="27" spans="1:30" ht="14.25" customHeight="1">
      <c r="B27" s="2"/>
      <c r="L27" s="51"/>
    </row>
    <row r="28" spans="1:30" ht="14.25" customHeight="1">
      <c r="B28" s="2"/>
      <c r="L28" s="51"/>
    </row>
    <row r="29" spans="1:30" ht="14.25" customHeight="1">
      <c r="B29" s="2"/>
      <c r="L29" s="51"/>
    </row>
    <row r="30" spans="1:30" ht="14.25" customHeight="1">
      <c r="B30" s="2"/>
      <c r="L30" s="51"/>
    </row>
    <row r="31" spans="1:30" ht="14.25" customHeight="1">
      <c r="B31" s="2"/>
      <c r="L31" s="51"/>
    </row>
    <row r="32" spans="1:30" ht="14.25" customHeight="1">
      <c r="B32" s="2"/>
      <c r="L32" s="51"/>
    </row>
    <row r="33" spans="2:12" ht="7.5" customHeight="1">
      <c r="B33" s="3"/>
      <c r="C33" s="4"/>
      <c r="D33" s="4"/>
      <c r="E33" s="4"/>
      <c r="F33" s="4"/>
      <c r="G33" s="4"/>
      <c r="H33" s="4"/>
      <c r="I33" s="4"/>
      <c r="J33" s="4"/>
      <c r="K33" s="4"/>
      <c r="L33" s="52"/>
    </row>
  </sheetData>
  <mergeCells count="2"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8"/>
  <sheetViews>
    <sheetView showGridLines="0" topLeftCell="A8" zoomScale="85" zoomScaleNormal="85" workbookViewId="0">
      <selection activeCell="T4" sqref="T4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8" width="11.42578125" customWidth="1"/>
  </cols>
  <sheetData>
    <row r="1" spans="2:21" ht="15" customHeight="1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2:21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50"/>
      <c r="U2" s="35"/>
    </row>
    <row r="3" spans="2:21" ht="15" customHeight="1">
      <c r="B3" s="2"/>
      <c r="Q3" s="51"/>
    </row>
    <row r="4" spans="2:21" ht="15" customHeight="1">
      <c r="B4" s="2"/>
      <c r="Q4" s="51"/>
    </row>
    <row r="5" spans="2:21" ht="15" customHeight="1">
      <c r="B5" s="2"/>
      <c r="Q5" s="51"/>
    </row>
    <row r="6" spans="2:21" ht="15" customHeight="1">
      <c r="B6" s="2"/>
      <c r="Q6" s="51"/>
    </row>
    <row r="7" spans="2:21" ht="15" hidden="1" customHeight="1">
      <c r="B7" s="2"/>
      <c r="Q7" s="51"/>
    </row>
    <row r="8" spans="2:21" ht="60" customHeight="1">
      <c r="B8" s="2"/>
      <c r="C8" s="238" t="str">
        <f>'Page de garde'!C13&amp;" : Démographie des Assurés vue au "&amp;AFFICHAGE!N4</f>
        <v xml:space="preserve"> : Démographie des Assurés vue au 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40"/>
      <c r="Q8" s="51"/>
    </row>
    <row r="9" spans="2:21" ht="15" customHeight="1">
      <c r="B9" s="2"/>
      <c r="Q9" s="51"/>
    </row>
    <row r="10" spans="2:21" ht="15" customHeight="1">
      <c r="B10" s="2"/>
      <c r="Q10" s="51"/>
    </row>
    <row r="11" spans="2:21" ht="15" customHeight="1">
      <c r="B11" s="2"/>
      <c r="C11" s="112" t="s">
        <v>47</v>
      </c>
      <c r="K11" s="113" t="s">
        <v>48</v>
      </c>
      <c r="Q11" s="51"/>
    </row>
    <row r="12" spans="2:21" ht="30" customHeight="1">
      <c r="B12" s="2"/>
      <c r="Q12" s="51"/>
    </row>
    <row r="13" spans="2:21" ht="45">
      <c r="B13" s="2"/>
      <c r="C13" s="14"/>
      <c r="D13" s="71" t="s">
        <v>49</v>
      </c>
      <c r="E13" s="71" t="s">
        <v>50</v>
      </c>
      <c r="F13" s="71" t="s">
        <v>41</v>
      </c>
      <c r="G13" s="71" t="s">
        <v>51</v>
      </c>
      <c r="H13" s="71" t="s">
        <v>52</v>
      </c>
      <c r="K13" s="17" t="s">
        <v>53</v>
      </c>
      <c r="L13" s="17" t="s">
        <v>54</v>
      </c>
      <c r="M13" s="17" t="s">
        <v>55</v>
      </c>
      <c r="N13" s="31" t="s">
        <v>46</v>
      </c>
      <c r="Q13" s="51"/>
    </row>
    <row r="14" spans="2:21" ht="15" customHeight="1">
      <c r="B14" s="2"/>
      <c r="C14" s="15" t="s">
        <v>54</v>
      </c>
      <c r="D14" s="143">
        <v>0</v>
      </c>
      <c r="E14" s="144"/>
      <c r="F14" s="143">
        <v>0</v>
      </c>
      <c r="G14" s="144"/>
      <c r="H14" s="145"/>
      <c r="K14" s="15" t="s">
        <v>56</v>
      </c>
      <c r="L14" s="18">
        <v>0</v>
      </c>
      <c r="M14" s="19">
        <v>0</v>
      </c>
      <c r="N14" s="29">
        <v>0</v>
      </c>
      <c r="Q14" s="51"/>
    </row>
    <row r="15" spans="2:21" ht="15" customHeight="1">
      <c r="B15" s="2"/>
      <c r="C15" s="146" t="s">
        <v>55</v>
      </c>
      <c r="D15" s="147">
        <v>0</v>
      </c>
      <c r="E15" s="148"/>
      <c r="F15" s="147">
        <v>0</v>
      </c>
      <c r="G15" s="148"/>
      <c r="H15" s="149"/>
      <c r="K15" s="15" t="s">
        <v>57</v>
      </c>
      <c r="L15" s="18">
        <v>0</v>
      </c>
      <c r="M15" s="19">
        <v>0</v>
      </c>
      <c r="N15" s="29">
        <v>0</v>
      </c>
      <c r="Q15" s="51"/>
    </row>
    <row r="16" spans="2:21" ht="15" customHeight="1">
      <c r="B16" s="2"/>
      <c r="C16" s="155" t="s">
        <v>46</v>
      </c>
      <c r="D16" s="156">
        <v>0</v>
      </c>
      <c r="E16" s="157"/>
      <c r="F16" s="156">
        <v>0</v>
      </c>
      <c r="G16" s="157"/>
      <c r="H16" s="158"/>
      <c r="K16" s="15" t="s">
        <v>58</v>
      </c>
      <c r="L16" s="18">
        <v>0</v>
      </c>
      <c r="M16" s="19">
        <v>0</v>
      </c>
      <c r="N16" s="29">
        <v>0</v>
      </c>
      <c r="Q16" s="51"/>
    </row>
    <row r="17" spans="2:17" ht="15" customHeight="1">
      <c r="B17" s="2"/>
      <c r="K17" s="15" t="s">
        <v>59</v>
      </c>
      <c r="L17" s="18">
        <v>0</v>
      </c>
      <c r="M17" s="19">
        <v>0</v>
      </c>
      <c r="N17" s="29">
        <v>0</v>
      </c>
      <c r="Q17" s="51"/>
    </row>
    <row r="18" spans="2:17" ht="15" customHeight="1">
      <c r="B18" s="2"/>
      <c r="K18" s="15" t="s">
        <v>60</v>
      </c>
      <c r="L18" s="18">
        <v>0</v>
      </c>
      <c r="M18" s="19">
        <v>0</v>
      </c>
      <c r="N18" s="29">
        <v>0</v>
      </c>
      <c r="Q18" s="51"/>
    </row>
    <row r="19" spans="2:17" ht="15" customHeight="1">
      <c r="B19" s="2"/>
      <c r="K19" s="15" t="s">
        <v>61</v>
      </c>
      <c r="L19" s="18">
        <v>0</v>
      </c>
      <c r="M19" s="19">
        <v>0</v>
      </c>
      <c r="N19" s="29">
        <v>0</v>
      </c>
      <c r="Q19" s="51"/>
    </row>
    <row r="20" spans="2:17" ht="15" customHeight="1">
      <c r="B20" s="2"/>
      <c r="K20" s="15" t="s">
        <v>62</v>
      </c>
      <c r="L20" s="18">
        <v>0</v>
      </c>
      <c r="M20" s="19">
        <v>0</v>
      </c>
      <c r="N20" s="29">
        <v>0</v>
      </c>
      <c r="Q20" s="51"/>
    </row>
    <row r="21" spans="2:17" ht="15" customHeight="1">
      <c r="B21" s="2"/>
      <c r="K21" s="15" t="s">
        <v>63</v>
      </c>
      <c r="L21" s="18">
        <v>0</v>
      </c>
      <c r="M21" s="19">
        <v>0</v>
      </c>
      <c r="N21" s="29">
        <v>0</v>
      </c>
      <c r="Q21" s="51"/>
    </row>
    <row r="22" spans="2:17" ht="15" customHeight="1">
      <c r="B22" s="2"/>
      <c r="K22" s="15" t="s">
        <v>64</v>
      </c>
      <c r="L22" s="18">
        <v>0</v>
      </c>
      <c r="M22" s="19">
        <v>0</v>
      </c>
      <c r="N22" s="29">
        <v>0</v>
      </c>
      <c r="Q22" s="51"/>
    </row>
    <row r="23" spans="2:17" ht="15" customHeight="1">
      <c r="B23" s="2"/>
      <c r="K23" s="16" t="s">
        <v>46</v>
      </c>
      <c r="L23" s="20">
        <v>0</v>
      </c>
      <c r="M23" s="21">
        <v>0</v>
      </c>
      <c r="N23" s="30">
        <v>0</v>
      </c>
      <c r="Q23" s="51"/>
    </row>
    <row r="24" spans="2:17" ht="15" customHeight="1">
      <c r="B24" s="2"/>
      <c r="Q24" s="51"/>
    </row>
    <row r="25" spans="2:17" ht="15" customHeight="1">
      <c r="B25" s="2"/>
      <c r="Q25" s="51"/>
    </row>
    <row r="26" spans="2:17" ht="15" customHeight="1">
      <c r="B26" s="2"/>
      <c r="Q26" s="51"/>
    </row>
    <row r="27" spans="2:17" ht="15" customHeight="1">
      <c r="B27" s="2"/>
      <c r="Q27" s="51"/>
    </row>
    <row r="28" spans="2:17" ht="15" customHeight="1">
      <c r="B28" s="2"/>
      <c r="Q28" s="51"/>
    </row>
    <row r="29" spans="2:17" ht="15" customHeight="1">
      <c r="B29" s="2"/>
      <c r="Q29" s="51"/>
    </row>
    <row r="30" spans="2:17">
      <c r="B30" s="2"/>
      <c r="Q30" s="51"/>
    </row>
    <row r="31" spans="2:17" ht="12" customHeight="1">
      <c r="B31" s="2"/>
      <c r="Q31" s="51"/>
    </row>
    <row r="32" spans="2:17" ht="15" customHeight="1">
      <c r="B32" s="2"/>
      <c r="Q32" s="51"/>
    </row>
    <row r="33" spans="2:17" ht="15" customHeight="1">
      <c r="B33" s="2"/>
      <c r="Q33" s="51"/>
    </row>
    <row r="34" spans="2:17" ht="15" customHeight="1">
      <c r="B34" s="2"/>
      <c r="C34" s="113" t="s">
        <v>65</v>
      </c>
      <c r="K34" s="245"/>
      <c r="L34" s="246"/>
      <c r="M34" s="246"/>
      <c r="N34" s="246"/>
      <c r="O34" s="246"/>
      <c r="P34" s="247"/>
      <c r="Q34" s="51"/>
    </row>
    <row r="35" spans="2:17" ht="15" customHeight="1">
      <c r="B35" s="2"/>
      <c r="K35" s="248"/>
      <c r="L35" s="249"/>
      <c r="M35" s="249"/>
      <c r="N35" s="249"/>
      <c r="O35" s="249"/>
      <c r="P35" s="250"/>
      <c r="Q35" s="51"/>
    </row>
    <row r="36" spans="2:17" ht="30" customHeight="1">
      <c r="B36" s="2"/>
      <c r="C36" s="13"/>
      <c r="D36" s="114" t="s">
        <v>66</v>
      </c>
      <c r="E36" s="115" t="s">
        <v>67</v>
      </c>
      <c r="K36" s="248"/>
      <c r="L36" s="249"/>
      <c r="M36" s="249"/>
      <c r="N36" s="249"/>
      <c r="O36" s="249"/>
      <c r="P36" s="250"/>
      <c r="Q36" s="51"/>
    </row>
    <row r="37" spans="2:17" ht="15" customHeight="1">
      <c r="B37" s="2"/>
      <c r="C37" s="116" t="s">
        <v>68</v>
      </c>
      <c r="D37" s="22">
        <v>0</v>
      </c>
      <c r="E37" s="23"/>
      <c r="K37" s="248"/>
      <c r="L37" s="249"/>
      <c r="M37" s="249"/>
      <c r="N37" s="249"/>
      <c r="O37" s="249"/>
      <c r="P37" s="250"/>
      <c r="Q37" s="51"/>
    </row>
    <row r="38" spans="2:17" ht="15" customHeight="1">
      <c r="B38" s="2"/>
      <c r="C38" s="117" t="s">
        <v>69</v>
      </c>
      <c r="D38" s="24">
        <v>0</v>
      </c>
      <c r="E38" s="25"/>
      <c r="K38" s="248"/>
      <c r="L38" s="249"/>
      <c r="M38" s="249"/>
      <c r="N38" s="249"/>
      <c r="O38" s="249"/>
      <c r="P38" s="250"/>
      <c r="Q38" s="51"/>
    </row>
    <row r="39" spans="2:17" ht="15" customHeight="1">
      <c r="B39" s="2"/>
      <c r="C39" s="118" t="s">
        <v>70</v>
      </c>
      <c r="D39" s="24">
        <v>0</v>
      </c>
      <c r="E39" s="25"/>
      <c r="K39" s="248"/>
      <c r="L39" s="249"/>
      <c r="M39" s="249"/>
      <c r="N39" s="249"/>
      <c r="O39" s="249"/>
      <c r="P39" s="250"/>
      <c r="Q39" s="51"/>
    </row>
    <row r="40" spans="2:17" ht="15" customHeight="1">
      <c r="B40" s="2"/>
      <c r="C40" s="119" t="s">
        <v>46</v>
      </c>
      <c r="D40" s="26">
        <v>0</v>
      </c>
      <c r="E40" s="27"/>
      <c r="K40" s="248"/>
      <c r="L40" s="249"/>
      <c r="M40" s="249"/>
      <c r="N40" s="249"/>
      <c r="O40" s="249"/>
      <c r="P40" s="250"/>
      <c r="Q40" s="51"/>
    </row>
    <row r="41" spans="2:17" ht="15" customHeight="1">
      <c r="B41" s="2"/>
      <c r="C41" s="1"/>
      <c r="D41" s="1"/>
      <c r="E41" s="1"/>
      <c r="K41" s="248"/>
      <c r="L41" s="249"/>
      <c r="M41" s="249"/>
      <c r="N41" s="249"/>
      <c r="O41" s="249"/>
      <c r="P41" s="250"/>
      <c r="Q41" s="51"/>
    </row>
    <row r="42" spans="2:17" ht="15" customHeight="1">
      <c r="B42" s="2"/>
      <c r="C42" s="119" t="s">
        <v>71</v>
      </c>
      <c r="D42" s="28"/>
      <c r="E42" s="120" t="e">
        <f>D40/F16</f>
        <v>#DIV/0!</v>
      </c>
      <c r="K42" s="251"/>
      <c r="L42" s="252"/>
      <c r="M42" s="252"/>
      <c r="N42" s="252"/>
      <c r="O42" s="252"/>
      <c r="P42" s="253"/>
      <c r="Q42" s="51"/>
    </row>
    <row r="43" spans="2:17" ht="15" customHeight="1">
      <c r="B43" s="2"/>
      <c r="Q43" s="51"/>
    </row>
    <row r="44" spans="2:17" ht="15" customHeight="1">
      <c r="B44" s="2"/>
      <c r="Q44" s="51"/>
    </row>
    <row r="45" spans="2:17" ht="15" customHeight="1">
      <c r="B45" s="2"/>
      <c r="Q45" s="51"/>
    </row>
    <row r="46" spans="2:17" s="72" customFormat="1" ht="15" customHeight="1">
      <c r="B46" s="76"/>
      <c r="Q46" s="77"/>
    </row>
    <row r="47" spans="2:17" ht="15" customHeight="1"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52"/>
    </row>
    <row r="48" spans="2:17" ht="15" customHeight="1"/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4" tint="0.79998168889431442"/>
    <pageSetUpPr fitToPage="1"/>
  </sheetPr>
  <dimension ref="A1:V80"/>
  <sheetViews>
    <sheetView showGridLines="0" zoomScale="70" zoomScaleNormal="70" workbookViewId="0">
      <selection sqref="A1:XFD1048576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8" t="str">
        <f>'Page de garde'!C13&amp;" : Détail des Prestations Réglées - Synthèse par famille d'actes"</f>
        <v xml:space="preserve"> : Détail des Prestations Réglées - Synthèse par famille d'actes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40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4" t="s">
        <v>72</v>
      </c>
      <c r="F12" s="255"/>
      <c r="G12" s="255"/>
      <c r="H12" s="255"/>
      <c r="I12" s="255"/>
      <c r="J12" s="255"/>
      <c r="K12" s="255"/>
      <c r="L12" s="255"/>
      <c r="M12" s="256"/>
      <c r="N12" s="32"/>
      <c r="O12" s="254" t="s">
        <v>73</v>
      </c>
      <c r="P12" s="255"/>
      <c r="Q12" s="256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74</v>
      </c>
      <c r="F14" s="121" t="s">
        <v>75</v>
      </c>
      <c r="G14" s="122" t="s">
        <v>76</v>
      </c>
      <c r="H14" s="121" t="s">
        <v>77</v>
      </c>
      <c r="I14" s="121" t="s">
        <v>78</v>
      </c>
      <c r="J14" s="121" t="s">
        <v>79</v>
      </c>
      <c r="K14" s="123" t="s">
        <v>80</v>
      </c>
      <c r="L14" s="123" t="s">
        <v>81</v>
      </c>
      <c r="M14" s="123" t="s">
        <v>82</v>
      </c>
      <c r="N14" s="32"/>
      <c r="O14" s="142" t="s">
        <v>80</v>
      </c>
      <c r="P14" s="142" t="s">
        <v>81</v>
      </c>
      <c r="Q14" s="123" t="s">
        <v>82</v>
      </c>
      <c r="R14" s="51"/>
    </row>
    <row r="15" spans="1:22" ht="15" customHeight="1">
      <c r="B15" s="2"/>
      <c r="C15" s="132" t="s">
        <v>83</v>
      </c>
      <c r="D15" s="133"/>
      <c r="E15" s="55">
        <v>1023</v>
      </c>
      <c r="F15" s="66"/>
      <c r="G15" s="56">
        <v>43615.41</v>
      </c>
      <c r="H15" s="56">
        <v>17798</v>
      </c>
      <c r="I15" s="56">
        <v>1060.69</v>
      </c>
      <c r="J15" s="56">
        <v>13270.3</v>
      </c>
      <c r="K15" s="56">
        <v>12.971945259042032</v>
      </c>
      <c r="L15" s="57">
        <v>2.7188662989511937E-2</v>
      </c>
      <c r="M15" s="57">
        <v>0.73664308096610809</v>
      </c>
      <c r="N15" s="134"/>
      <c r="O15" s="56">
        <v>22.551906537955251</v>
      </c>
      <c r="P15" s="57">
        <v>2.733644082434377E-2</v>
      </c>
      <c r="Q15" s="57">
        <v>0.8184083512135526</v>
      </c>
      <c r="R15" s="51"/>
    </row>
    <row r="16" spans="1:22" ht="15" customHeight="1">
      <c r="B16" s="2"/>
      <c r="C16" s="183"/>
      <c r="D16" s="184" t="s">
        <v>84</v>
      </c>
      <c r="E16" s="185">
        <v>1021</v>
      </c>
      <c r="F16" s="186"/>
      <c r="G16" s="187">
        <v>40915.410000000003</v>
      </c>
      <c r="H16" s="187">
        <v>17318</v>
      </c>
      <c r="I16" s="187">
        <v>1060.69</v>
      </c>
      <c r="J16" s="187">
        <v>12870.3</v>
      </c>
      <c r="K16" s="187">
        <v>12.60558276199804</v>
      </c>
      <c r="L16" s="188">
        <v>2.6369128751717406E-2</v>
      </c>
      <c r="M16" s="188">
        <v>0.76374622666618763</v>
      </c>
      <c r="N16" s="189"/>
      <c r="O16" s="187">
        <v>14.469898921832893</v>
      </c>
      <c r="P16" s="188">
        <v>1.7131880580306406E-2</v>
      </c>
      <c r="Q16" s="188">
        <v>0.86238451763351875</v>
      </c>
      <c r="R16" s="51"/>
    </row>
    <row r="17" spans="2:18" ht="15" customHeight="1">
      <c r="B17" s="2"/>
      <c r="C17" s="183"/>
      <c r="D17" s="184" t="s">
        <v>85</v>
      </c>
      <c r="E17" s="185">
        <v>0</v>
      </c>
      <c r="F17" s="186"/>
      <c r="G17" s="187">
        <v>0</v>
      </c>
      <c r="H17" s="187">
        <v>0</v>
      </c>
      <c r="I17" s="187">
        <v>0</v>
      </c>
      <c r="J17" s="187">
        <v>0</v>
      </c>
      <c r="K17" s="187"/>
      <c r="L17" s="188">
        <v>0</v>
      </c>
      <c r="M17" s="188">
        <v>0</v>
      </c>
      <c r="N17" s="189"/>
      <c r="O17" s="187">
        <v>2.3499999999999974</v>
      </c>
      <c r="P17" s="188">
        <v>3.499776209788792E-5</v>
      </c>
      <c r="Q17" s="188">
        <v>0.53154205607476601</v>
      </c>
      <c r="R17" s="51"/>
    </row>
    <row r="18" spans="2:18" ht="15" customHeight="1">
      <c r="B18" s="2"/>
      <c r="C18" s="183"/>
      <c r="D18" s="184" t="s">
        <v>86</v>
      </c>
      <c r="E18" s="185">
        <v>0</v>
      </c>
      <c r="F18" s="186"/>
      <c r="G18" s="187">
        <v>0</v>
      </c>
      <c r="H18" s="187">
        <v>0</v>
      </c>
      <c r="I18" s="187">
        <v>0</v>
      </c>
      <c r="J18" s="187">
        <v>0</v>
      </c>
      <c r="K18" s="187"/>
      <c r="L18" s="188">
        <v>0</v>
      </c>
      <c r="M18" s="188">
        <v>0</v>
      </c>
      <c r="N18" s="189"/>
      <c r="O18" s="187">
        <v>710</v>
      </c>
      <c r="P18" s="188">
        <v>1.8881771344605208E-4</v>
      </c>
      <c r="Q18" s="188">
        <v>1</v>
      </c>
      <c r="R18" s="51"/>
    </row>
    <row r="19" spans="2:18" ht="15" customHeight="1">
      <c r="B19" s="2"/>
      <c r="C19" s="183"/>
      <c r="D19" s="184" t="s">
        <v>87</v>
      </c>
      <c r="E19" s="185">
        <v>1</v>
      </c>
      <c r="F19" s="186"/>
      <c r="G19" s="187">
        <v>1350</v>
      </c>
      <c r="H19" s="187">
        <v>240</v>
      </c>
      <c r="I19" s="187">
        <v>0</v>
      </c>
      <c r="J19" s="187">
        <v>200</v>
      </c>
      <c r="K19" s="187">
        <v>200</v>
      </c>
      <c r="L19" s="188">
        <v>4.097671188972659E-4</v>
      </c>
      <c r="M19" s="188">
        <v>0.32592592592592595</v>
      </c>
      <c r="N19" s="189"/>
      <c r="O19" s="187">
        <v>818.18181818181813</v>
      </c>
      <c r="P19" s="188">
        <v>2.3934639732598149E-3</v>
      </c>
      <c r="Q19" s="188">
        <v>0.75243845796562936</v>
      </c>
      <c r="R19" s="51"/>
    </row>
    <row r="20" spans="2:18" ht="15" customHeight="1">
      <c r="B20" s="2"/>
      <c r="C20" s="183"/>
      <c r="D20" s="184" t="s">
        <v>88</v>
      </c>
      <c r="E20" s="185">
        <v>1</v>
      </c>
      <c r="F20" s="186"/>
      <c r="G20" s="187">
        <v>1350</v>
      </c>
      <c r="H20" s="187">
        <v>240</v>
      </c>
      <c r="I20" s="187">
        <v>0</v>
      </c>
      <c r="J20" s="187">
        <v>200</v>
      </c>
      <c r="K20" s="187">
        <v>200</v>
      </c>
      <c r="L20" s="188">
        <v>4.097671188972659E-4</v>
      </c>
      <c r="M20" s="188">
        <v>0.32592592592592595</v>
      </c>
      <c r="N20" s="189"/>
      <c r="O20" s="187">
        <v>863.07692307692309</v>
      </c>
      <c r="P20" s="188">
        <v>2.9838517533305694E-3</v>
      </c>
      <c r="Q20" s="188">
        <v>0.82148962148962146</v>
      </c>
      <c r="R20" s="51"/>
    </row>
    <row r="21" spans="2:18" ht="15" customHeight="1">
      <c r="B21" s="2"/>
      <c r="C21" s="183"/>
      <c r="D21" s="184" t="s">
        <v>89</v>
      </c>
      <c r="E21" s="185">
        <v>0</v>
      </c>
      <c r="F21" s="186"/>
      <c r="G21" s="187">
        <v>0</v>
      </c>
      <c r="H21" s="187">
        <v>0</v>
      </c>
      <c r="I21" s="187">
        <v>0</v>
      </c>
      <c r="J21" s="187">
        <v>0</v>
      </c>
      <c r="K21" s="187"/>
      <c r="L21" s="188">
        <v>0</v>
      </c>
      <c r="M21" s="188">
        <v>0</v>
      </c>
      <c r="N21" s="189"/>
      <c r="O21" s="187">
        <v>692.4</v>
      </c>
      <c r="P21" s="188">
        <v>4.6034290419030444E-3</v>
      </c>
      <c r="Q21" s="188">
        <v>0.64264345934185474</v>
      </c>
      <c r="R21" s="51"/>
    </row>
    <row r="22" spans="2:18" ht="15" customHeight="1">
      <c r="B22" s="2"/>
      <c r="C22" s="132" t="s">
        <v>90</v>
      </c>
      <c r="D22" s="133"/>
      <c r="E22" s="55">
        <v>6</v>
      </c>
      <c r="F22" s="66"/>
      <c r="G22" s="56">
        <v>5436.34</v>
      </c>
      <c r="H22" s="56">
        <v>0</v>
      </c>
      <c r="I22" s="56">
        <v>0</v>
      </c>
      <c r="J22" s="56">
        <v>5436.34</v>
      </c>
      <c r="K22" s="56">
        <v>906.05666666666673</v>
      </c>
      <c r="L22" s="57">
        <v>1.1138166895729813E-2</v>
      </c>
      <c r="M22" s="57">
        <v>1</v>
      </c>
      <c r="N22" s="134"/>
      <c r="O22" s="56">
        <v>126.90946428571429</v>
      </c>
      <c r="P22" s="57">
        <v>3.7800402034398619E-3</v>
      </c>
      <c r="Q22" s="57">
        <v>0.9894604440758682</v>
      </c>
      <c r="R22" s="51"/>
    </row>
    <row r="23" spans="2:18" ht="15" customHeight="1">
      <c r="B23" s="2"/>
      <c r="C23" s="183"/>
      <c r="D23" s="184" t="s">
        <v>91</v>
      </c>
      <c r="E23" s="185">
        <v>0</v>
      </c>
      <c r="F23" s="186"/>
      <c r="G23" s="187">
        <v>0</v>
      </c>
      <c r="H23" s="187">
        <v>0</v>
      </c>
      <c r="I23" s="187">
        <v>0</v>
      </c>
      <c r="J23" s="187">
        <v>0</v>
      </c>
      <c r="K23" s="187"/>
      <c r="L23" s="188">
        <v>0</v>
      </c>
      <c r="M23" s="188">
        <v>0</v>
      </c>
      <c r="N23" s="189"/>
      <c r="O23" s="187">
        <v>7</v>
      </c>
      <c r="P23" s="188">
        <v>3.7231661806263787E-6</v>
      </c>
      <c r="Q23" s="188">
        <v>1</v>
      </c>
      <c r="R23" s="51"/>
    </row>
    <row r="24" spans="2:18" ht="15" customHeight="1">
      <c r="B24" s="2"/>
      <c r="C24" s="183"/>
      <c r="D24" s="184" t="s">
        <v>92</v>
      </c>
      <c r="E24" s="185">
        <v>4</v>
      </c>
      <c r="F24" s="186"/>
      <c r="G24" s="187">
        <v>240</v>
      </c>
      <c r="H24" s="187">
        <v>0</v>
      </c>
      <c r="I24" s="187">
        <v>0</v>
      </c>
      <c r="J24" s="187">
        <v>240</v>
      </c>
      <c r="K24" s="187">
        <v>60</v>
      </c>
      <c r="L24" s="188">
        <v>4.9172054267671906E-4</v>
      </c>
      <c r="M24" s="188">
        <v>1</v>
      </c>
      <c r="N24" s="189"/>
      <c r="O24" s="187">
        <v>54.815533980582522</v>
      </c>
      <c r="P24" s="188">
        <v>1.501499732558324E-3</v>
      </c>
      <c r="Q24" s="188">
        <v>0.97378406347016211</v>
      </c>
      <c r="R24" s="51"/>
    </row>
    <row r="25" spans="2:18" ht="15" customHeight="1">
      <c r="B25" s="2"/>
      <c r="C25" s="183"/>
      <c r="D25" s="184" t="s">
        <v>93</v>
      </c>
      <c r="E25" s="185">
        <v>0</v>
      </c>
      <c r="F25" s="186"/>
      <c r="G25" s="187">
        <v>0</v>
      </c>
      <c r="H25" s="187">
        <v>0</v>
      </c>
      <c r="I25" s="187">
        <v>0</v>
      </c>
      <c r="J25" s="187">
        <v>0</v>
      </c>
      <c r="K25" s="187"/>
      <c r="L25" s="188">
        <v>0</v>
      </c>
      <c r="M25" s="188">
        <v>0</v>
      </c>
      <c r="N25" s="189"/>
      <c r="O25" s="187">
        <v>-7.29</v>
      </c>
      <c r="P25" s="188">
        <v>-1.93870581834045E-6</v>
      </c>
      <c r="Q25" s="188">
        <v>1</v>
      </c>
      <c r="R25" s="51"/>
    </row>
    <row r="26" spans="2:18" ht="15" customHeight="1">
      <c r="B26" s="2"/>
      <c r="C26" s="183"/>
      <c r="D26" s="184" t="s">
        <v>94</v>
      </c>
      <c r="E26" s="185">
        <v>2</v>
      </c>
      <c r="F26" s="186"/>
      <c r="G26" s="187">
        <v>5196.34</v>
      </c>
      <c r="H26" s="187">
        <v>0</v>
      </c>
      <c r="I26" s="187">
        <v>0</v>
      </c>
      <c r="J26" s="187">
        <v>5196.34</v>
      </c>
      <c r="K26" s="187">
        <v>2598.17</v>
      </c>
      <c r="L26" s="188">
        <v>1.0646446353053094E-2</v>
      </c>
      <c r="M26" s="188">
        <v>1</v>
      </c>
      <c r="N26" s="189"/>
      <c r="O26" s="187">
        <v>1426.8583333333336</v>
      </c>
      <c r="P26" s="188">
        <v>2.2767560105192521E-3</v>
      </c>
      <c r="Q26" s="188">
        <v>1</v>
      </c>
      <c r="R26" s="51"/>
    </row>
    <row r="27" spans="2:18" ht="15" customHeight="1">
      <c r="B27" s="2"/>
      <c r="C27" s="132" t="s">
        <v>95</v>
      </c>
      <c r="D27" s="133"/>
      <c r="E27" s="55">
        <v>9</v>
      </c>
      <c r="F27" s="66"/>
      <c r="G27" s="56">
        <v>1124.9100000000001</v>
      </c>
      <c r="H27" s="56">
        <v>479.19</v>
      </c>
      <c r="I27" s="56">
        <v>12.5</v>
      </c>
      <c r="J27" s="56">
        <v>316.72000000000003</v>
      </c>
      <c r="K27" s="56">
        <v>35.191111111111113</v>
      </c>
      <c r="L27" s="57">
        <v>6.4890720948571035E-4</v>
      </c>
      <c r="M27" s="57">
        <v>0.71864415819932248</v>
      </c>
      <c r="N27" s="134"/>
      <c r="O27" s="56">
        <v>43.244387755102039</v>
      </c>
      <c r="P27" s="57">
        <v>1.1270422939418257E-3</v>
      </c>
      <c r="Q27" s="57">
        <v>0.73116169777035944</v>
      </c>
      <c r="R27" s="51"/>
    </row>
    <row r="28" spans="2:18" ht="15" customHeight="1">
      <c r="B28" s="2"/>
      <c r="C28" s="183"/>
      <c r="D28" s="184" t="s">
        <v>96</v>
      </c>
      <c r="E28" s="185">
        <v>9</v>
      </c>
      <c r="F28" s="186"/>
      <c r="G28" s="187">
        <v>1124.9100000000001</v>
      </c>
      <c r="H28" s="187">
        <v>479.19</v>
      </c>
      <c r="I28" s="187">
        <v>12.5</v>
      </c>
      <c r="J28" s="187">
        <v>316.72000000000003</v>
      </c>
      <c r="K28" s="187">
        <v>35.191111111111113</v>
      </c>
      <c r="L28" s="188">
        <v>6.4890720948571035E-4</v>
      </c>
      <c r="M28" s="188">
        <v>0.71864415819932248</v>
      </c>
      <c r="N28" s="189"/>
      <c r="O28" s="187">
        <v>43.244387755102039</v>
      </c>
      <c r="P28" s="188">
        <v>1.1270422939418257E-3</v>
      </c>
      <c r="Q28" s="188">
        <v>0.73116169777035944</v>
      </c>
      <c r="R28" s="51"/>
    </row>
    <row r="29" spans="2:18" ht="15" customHeight="1">
      <c r="B29" s="2"/>
      <c r="C29" s="132" t="s">
        <v>97</v>
      </c>
      <c r="D29" s="133"/>
      <c r="E29" s="55">
        <v>1798</v>
      </c>
      <c r="F29" s="66"/>
      <c r="G29" s="56">
        <v>274451.25999999989</v>
      </c>
      <c r="H29" s="56">
        <v>70467.989999999932</v>
      </c>
      <c r="I29" s="56">
        <v>12444.810000000001</v>
      </c>
      <c r="J29" s="56">
        <v>109250.96999999997</v>
      </c>
      <c r="K29" s="56">
        <v>60.762497219132371</v>
      </c>
      <c r="L29" s="57">
        <v>0.22383727606815815</v>
      </c>
      <c r="M29" s="57">
        <v>0.70017448635506352</v>
      </c>
      <c r="N29" s="134"/>
      <c r="O29" s="56">
        <v>73.117336496980073</v>
      </c>
      <c r="P29" s="57">
        <v>0.2253658897018983</v>
      </c>
      <c r="Q29" s="57">
        <v>0.78084608407273215</v>
      </c>
      <c r="R29" s="51"/>
    </row>
    <row r="30" spans="2:18" ht="15" customHeight="1">
      <c r="B30" s="2"/>
      <c r="C30" s="183"/>
      <c r="D30" s="184" t="s">
        <v>98</v>
      </c>
      <c r="E30" s="185">
        <v>579</v>
      </c>
      <c r="F30" s="186"/>
      <c r="G30" s="187">
        <v>12754.3</v>
      </c>
      <c r="H30" s="187">
        <v>8771.7599999999402</v>
      </c>
      <c r="I30" s="187">
        <v>73.44</v>
      </c>
      <c r="J30" s="187">
        <v>3774.8399999999901</v>
      </c>
      <c r="K30" s="187">
        <v>6.5195854922279795</v>
      </c>
      <c r="L30" s="188">
        <v>7.7340265554907764E-3</v>
      </c>
      <c r="M30" s="188">
        <v>0.98947335408450499</v>
      </c>
      <c r="N30" s="189"/>
      <c r="O30" s="187">
        <v>6.7525749423520676</v>
      </c>
      <c r="P30" s="188">
        <v>4.6726267447744219E-3</v>
      </c>
      <c r="Q30" s="188">
        <v>0.99145323601774238</v>
      </c>
      <c r="R30" s="51"/>
    </row>
    <row r="31" spans="2:18" ht="15" customHeight="1">
      <c r="B31" s="2"/>
      <c r="C31" s="183"/>
      <c r="D31" s="184" t="s">
        <v>99</v>
      </c>
      <c r="E31" s="185">
        <v>104</v>
      </c>
      <c r="F31" s="186"/>
      <c r="G31" s="187">
        <v>52463.25</v>
      </c>
      <c r="H31" s="187">
        <v>13686.95</v>
      </c>
      <c r="I31" s="187">
        <v>7130.6</v>
      </c>
      <c r="J31" s="187">
        <v>14700.3</v>
      </c>
      <c r="K31" s="187">
        <v>141.34903846153844</v>
      </c>
      <c r="L31" s="188">
        <v>3.0118497889627387E-2</v>
      </c>
      <c r="M31" s="188">
        <v>0.67700437925595536</v>
      </c>
      <c r="N31" s="189"/>
      <c r="O31" s="187">
        <v>206.49341463414632</v>
      </c>
      <c r="P31" s="188">
        <v>2.926966826958986E-2</v>
      </c>
      <c r="Q31" s="188">
        <v>0.8122784449521202</v>
      </c>
      <c r="R31" s="51"/>
    </row>
    <row r="32" spans="2:18" ht="15" customHeight="1">
      <c r="B32" s="2"/>
      <c r="C32" s="183"/>
      <c r="D32" s="184" t="s">
        <v>100</v>
      </c>
      <c r="E32" s="185">
        <v>28</v>
      </c>
      <c r="F32" s="186"/>
      <c r="G32" s="187">
        <v>2790.78</v>
      </c>
      <c r="H32" s="187">
        <v>284.68</v>
      </c>
      <c r="I32" s="187">
        <v>12.54</v>
      </c>
      <c r="J32" s="187">
        <v>899.28</v>
      </c>
      <c r="K32" s="187">
        <v>32.117142857142859</v>
      </c>
      <c r="L32" s="188">
        <v>1.8424768734096662E-3</v>
      </c>
      <c r="M32" s="188">
        <v>0.42873318570435504</v>
      </c>
      <c r="N32" s="189"/>
      <c r="O32" s="187">
        <v>62.125390070921988</v>
      </c>
      <c r="P32" s="188">
        <v>4.6591063327298971E-3</v>
      </c>
      <c r="Q32" s="188">
        <v>0.58262624820147357</v>
      </c>
      <c r="R32" s="51"/>
    </row>
    <row r="33" spans="2:18" ht="15" customHeight="1">
      <c r="B33" s="2"/>
      <c r="C33" s="183"/>
      <c r="D33" s="184" t="s">
        <v>101</v>
      </c>
      <c r="E33" s="185">
        <v>481</v>
      </c>
      <c r="F33" s="186"/>
      <c r="G33" s="187">
        <v>91875.48</v>
      </c>
      <c r="H33" s="187">
        <v>20650.599999999999</v>
      </c>
      <c r="I33" s="187">
        <v>379.5</v>
      </c>
      <c r="J33" s="187">
        <v>61116.12</v>
      </c>
      <c r="K33" s="187">
        <v>127.06054054054054</v>
      </c>
      <c r="L33" s="188">
        <v>0.12521688205289785</v>
      </c>
      <c r="M33" s="188">
        <v>0.89410384577038404</v>
      </c>
      <c r="N33" s="189"/>
      <c r="O33" s="187">
        <v>85.589691005707365</v>
      </c>
      <c r="P33" s="188">
        <v>0.11565250363525262</v>
      </c>
      <c r="Q33" s="188">
        <v>0.83307906709382462</v>
      </c>
      <c r="R33" s="51"/>
    </row>
    <row r="34" spans="2:18" ht="15" customHeight="1">
      <c r="B34" s="2"/>
      <c r="C34" s="183"/>
      <c r="D34" s="184" t="s">
        <v>102</v>
      </c>
      <c r="E34" s="185">
        <v>96</v>
      </c>
      <c r="F34" s="186"/>
      <c r="G34" s="187">
        <v>52742.5</v>
      </c>
      <c r="H34" s="187">
        <v>5073.08</v>
      </c>
      <c r="I34" s="187">
        <v>3136.69</v>
      </c>
      <c r="J34" s="187">
        <v>12759.56</v>
      </c>
      <c r="K34" s="187">
        <v>132.91208333333333</v>
      </c>
      <c r="L34" s="188">
        <v>2.6142240697983987E-2</v>
      </c>
      <c r="M34" s="188">
        <v>0.3975793714746173</v>
      </c>
      <c r="N34" s="189"/>
      <c r="O34" s="187">
        <v>229.56749559082891</v>
      </c>
      <c r="P34" s="188">
        <v>3.4616076398072217E-2</v>
      </c>
      <c r="Q34" s="188">
        <v>0.61452559588812938</v>
      </c>
      <c r="R34" s="51"/>
    </row>
    <row r="35" spans="2:18" ht="15" customHeight="1">
      <c r="B35" s="2"/>
      <c r="C35" s="183"/>
      <c r="D35" s="184" t="s">
        <v>103</v>
      </c>
      <c r="E35" s="185">
        <v>65</v>
      </c>
      <c r="F35" s="186"/>
      <c r="G35" s="187">
        <v>36236</v>
      </c>
      <c r="H35" s="187">
        <v>5742.13</v>
      </c>
      <c r="I35" s="187">
        <v>1687.18</v>
      </c>
      <c r="J35" s="187">
        <v>8674.8700000000008</v>
      </c>
      <c r="K35" s="187">
        <v>133.45953846153847</v>
      </c>
      <c r="L35" s="188">
        <v>1.7773382433541627E-2</v>
      </c>
      <c r="M35" s="188">
        <v>0.44442488133348051</v>
      </c>
      <c r="N35" s="189"/>
      <c r="O35" s="187">
        <v>222.93927601809952</v>
      </c>
      <c r="P35" s="188">
        <v>2.6205547712809401E-2</v>
      </c>
      <c r="Q35" s="188">
        <v>0.70249591708110914</v>
      </c>
      <c r="R35" s="51"/>
    </row>
    <row r="36" spans="2:18" ht="15" customHeight="1">
      <c r="B36" s="2"/>
      <c r="C36" s="183"/>
      <c r="D36" s="184" t="s">
        <v>104</v>
      </c>
      <c r="E36" s="185">
        <v>445</v>
      </c>
      <c r="F36" s="186"/>
      <c r="G36" s="187">
        <v>25588.949999999899</v>
      </c>
      <c r="H36" s="187">
        <v>16258.79</v>
      </c>
      <c r="I36" s="187">
        <v>24.86</v>
      </c>
      <c r="J36" s="187">
        <v>7325.99999999998</v>
      </c>
      <c r="K36" s="187">
        <v>16.462921348314605</v>
      </c>
      <c r="L36" s="188">
        <v>1.5009769565206849E-2</v>
      </c>
      <c r="M36" s="188">
        <v>0.92265020643676277</v>
      </c>
      <c r="N36" s="189"/>
      <c r="O36" s="187">
        <v>18.576202592414798</v>
      </c>
      <c r="P36" s="188">
        <v>1.029036060866991E-2</v>
      </c>
      <c r="Q36" s="188">
        <v>0.90250571067858387</v>
      </c>
      <c r="R36" s="51"/>
    </row>
    <row r="37" spans="2:18" ht="15" customHeight="1">
      <c r="B37" s="2"/>
      <c r="C37" s="132" t="s">
        <v>105</v>
      </c>
      <c r="D37" s="133"/>
      <c r="E37" s="55">
        <v>801</v>
      </c>
      <c r="F37" s="66"/>
      <c r="G37" s="56">
        <v>164529.12000000002</v>
      </c>
      <c r="H37" s="56">
        <v>102104.68000000001</v>
      </c>
      <c r="I37" s="56">
        <v>1670.65</v>
      </c>
      <c r="J37" s="56">
        <v>45039.49</v>
      </c>
      <c r="K37" s="56">
        <v>56.229076154806492</v>
      </c>
      <c r="L37" s="57">
        <v>9.2278510269511088E-2</v>
      </c>
      <c r="M37" s="57">
        <v>0.90448924786080431</v>
      </c>
      <c r="N37" s="134"/>
      <c r="O37" s="56">
        <v>64.321971002598843</v>
      </c>
      <c r="P37" s="57">
        <v>0.12506060151052625</v>
      </c>
      <c r="Q37" s="57">
        <v>0.92379302777816708</v>
      </c>
      <c r="R37" s="51"/>
    </row>
    <row r="38" spans="2:18" ht="15" customHeight="1">
      <c r="B38" s="2"/>
      <c r="C38" s="183"/>
      <c r="D38" s="184" t="s">
        <v>106</v>
      </c>
      <c r="E38" s="185">
        <v>85</v>
      </c>
      <c r="F38" s="186"/>
      <c r="G38" s="187">
        <v>7675.86</v>
      </c>
      <c r="H38" s="187">
        <v>0</v>
      </c>
      <c r="I38" s="187">
        <v>0</v>
      </c>
      <c r="J38" s="187">
        <v>6874.84</v>
      </c>
      <c r="K38" s="187">
        <v>80.880470588235298</v>
      </c>
      <c r="L38" s="188">
        <v>1.4085416898398397E-2</v>
      </c>
      <c r="M38" s="188">
        <v>0.89564426657078167</v>
      </c>
      <c r="N38" s="189"/>
      <c r="O38" s="187">
        <v>90.76275309541154</v>
      </c>
      <c r="P38" s="188">
        <v>3.3140769139594614E-2</v>
      </c>
      <c r="Q38" s="188">
        <v>0.83904105695964992</v>
      </c>
      <c r="R38" s="51"/>
    </row>
    <row r="39" spans="2:18" ht="15" customHeight="1">
      <c r="B39" s="2"/>
      <c r="C39" s="183"/>
      <c r="D39" s="184" t="s">
        <v>107</v>
      </c>
      <c r="E39" s="185">
        <v>51</v>
      </c>
      <c r="F39" s="186"/>
      <c r="G39" s="187">
        <v>6962.12</v>
      </c>
      <c r="H39" s="187">
        <v>4897.5200000000004</v>
      </c>
      <c r="I39" s="187">
        <v>0</v>
      </c>
      <c r="J39" s="187">
        <v>2064.6</v>
      </c>
      <c r="K39" s="187">
        <v>40.482352941176465</v>
      </c>
      <c r="L39" s="188">
        <v>4.2300259683764755E-3</v>
      </c>
      <c r="M39" s="188">
        <v>1</v>
      </c>
      <c r="N39" s="189"/>
      <c r="O39" s="187">
        <v>46.513839891451831</v>
      </c>
      <c r="P39" s="188">
        <v>9.1166244920141918E-3</v>
      </c>
      <c r="Q39" s="188">
        <v>0.99943679613597092</v>
      </c>
      <c r="R39" s="51"/>
    </row>
    <row r="40" spans="2:18" ht="15" customHeight="1">
      <c r="B40" s="2"/>
      <c r="C40" s="183"/>
      <c r="D40" s="184" t="s">
        <v>108</v>
      </c>
      <c r="E40" s="185">
        <v>3</v>
      </c>
      <c r="F40" s="186"/>
      <c r="G40" s="187">
        <v>72</v>
      </c>
      <c r="H40" s="187">
        <v>0</v>
      </c>
      <c r="I40" s="187">
        <v>0</v>
      </c>
      <c r="J40" s="187">
        <v>72</v>
      </c>
      <c r="K40" s="187">
        <v>24</v>
      </c>
      <c r="L40" s="188">
        <v>1.4751616280301571E-4</v>
      </c>
      <c r="M40" s="188">
        <v>1</v>
      </c>
      <c r="N40" s="189"/>
      <c r="O40" s="187">
        <v>23.77570093457944</v>
      </c>
      <c r="P40" s="188">
        <v>1.3531049662162155E-3</v>
      </c>
      <c r="Q40" s="188">
        <v>1</v>
      </c>
      <c r="R40" s="51"/>
    </row>
    <row r="41" spans="2:18" ht="15" customHeight="1">
      <c r="B41" s="2"/>
      <c r="C41" s="183"/>
      <c r="D41" s="184" t="s">
        <v>109</v>
      </c>
      <c r="E41" s="185">
        <v>13</v>
      </c>
      <c r="F41" s="186"/>
      <c r="G41" s="187">
        <v>1434.47</v>
      </c>
      <c r="H41" s="187">
        <v>932.42</v>
      </c>
      <c r="I41" s="187">
        <v>0</v>
      </c>
      <c r="J41" s="187">
        <v>502.05</v>
      </c>
      <c r="K41" s="187">
        <v>38.619230769230768</v>
      </c>
      <c r="L41" s="188">
        <v>1.0286179102118617E-3</v>
      </c>
      <c r="M41" s="188">
        <v>1</v>
      </c>
      <c r="N41" s="189"/>
      <c r="O41" s="187">
        <v>34.640860000000018</v>
      </c>
      <c r="P41" s="188">
        <v>4.6062028007076124E-3</v>
      </c>
      <c r="Q41" s="188">
        <v>0.99969761765042153</v>
      </c>
      <c r="R41" s="51"/>
    </row>
    <row r="42" spans="2:18" ht="15" customHeight="1">
      <c r="B42" s="2"/>
      <c r="C42" s="183"/>
      <c r="D42" s="184" t="s">
        <v>110</v>
      </c>
      <c r="E42" s="185">
        <v>24</v>
      </c>
      <c r="F42" s="186"/>
      <c r="G42" s="187">
        <v>1793.66</v>
      </c>
      <c r="H42" s="187">
        <v>1434.94</v>
      </c>
      <c r="I42" s="187">
        <v>0</v>
      </c>
      <c r="J42" s="187">
        <v>358.72</v>
      </c>
      <c r="K42" s="187">
        <v>14.946666666666667</v>
      </c>
      <c r="L42" s="188">
        <v>7.3495830445413613E-4</v>
      </c>
      <c r="M42" s="188">
        <v>1</v>
      </c>
      <c r="N42" s="189"/>
      <c r="O42" s="187">
        <v>94.310365111561879</v>
      </c>
      <c r="P42" s="188">
        <v>1.2364903485706095E-2</v>
      </c>
      <c r="Q42" s="188">
        <v>0.99982943209325981</v>
      </c>
      <c r="R42" s="51"/>
    </row>
    <row r="43" spans="2:18" ht="15" customHeight="1">
      <c r="B43" s="2"/>
      <c r="C43" s="183"/>
      <c r="D43" s="184" t="s">
        <v>111</v>
      </c>
      <c r="E43" s="185">
        <v>597</v>
      </c>
      <c r="F43" s="186"/>
      <c r="G43" s="187">
        <v>141842.98000000001</v>
      </c>
      <c r="H43" s="187">
        <v>93450.94</v>
      </c>
      <c r="I43" s="187">
        <v>1670.65</v>
      </c>
      <c r="J43" s="187">
        <v>32133.52</v>
      </c>
      <c r="K43" s="187">
        <v>53.82499162479062</v>
      </c>
      <c r="L43" s="188">
        <v>6.5836299552138364E-2</v>
      </c>
      <c r="M43" s="188">
        <v>0.89715479750918936</v>
      </c>
      <c r="N43" s="189"/>
      <c r="O43" s="187">
        <v>58.041021164021174</v>
      </c>
      <c r="P43" s="188">
        <v>5.8346019113463952E-2</v>
      </c>
      <c r="Q43" s="188">
        <v>0.9042503296950225</v>
      </c>
      <c r="R43" s="51"/>
    </row>
    <row r="44" spans="2:18" ht="15" customHeight="1">
      <c r="B44" s="2"/>
      <c r="C44" s="183"/>
      <c r="D44" s="184" t="s">
        <v>112</v>
      </c>
      <c r="E44" s="185">
        <v>15</v>
      </c>
      <c r="F44" s="186"/>
      <c r="G44" s="187">
        <v>3565.31</v>
      </c>
      <c r="H44" s="187">
        <v>1388.86</v>
      </c>
      <c r="I44" s="187">
        <v>0</v>
      </c>
      <c r="J44" s="187">
        <v>1851.04</v>
      </c>
      <c r="K44" s="187">
        <v>123.40266666666666</v>
      </c>
      <c r="L44" s="188">
        <v>3.792476638817975E-3</v>
      </c>
      <c r="M44" s="188">
        <v>0.90872883423881801</v>
      </c>
      <c r="N44" s="189"/>
      <c r="O44" s="187">
        <v>67.941000000000031</v>
      </c>
      <c r="P44" s="188">
        <v>3.0716041208035194E-3</v>
      </c>
      <c r="Q44" s="188">
        <v>0.93400879016736493</v>
      </c>
      <c r="R44" s="51"/>
    </row>
    <row r="45" spans="2:18" ht="15" customHeight="1">
      <c r="B45" s="2"/>
      <c r="C45" s="183"/>
      <c r="D45" s="184" t="s">
        <v>113</v>
      </c>
      <c r="E45" s="185">
        <v>5</v>
      </c>
      <c r="F45" s="186"/>
      <c r="G45" s="187">
        <v>1022.72</v>
      </c>
      <c r="H45" s="187">
        <v>0</v>
      </c>
      <c r="I45" s="187">
        <v>0</v>
      </c>
      <c r="J45" s="187">
        <v>1022.72</v>
      </c>
      <c r="K45" s="187">
        <v>204.54400000000001</v>
      </c>
      <c r="L45" s="188">
        <v>2.0953851391930589E-3</v>
      </c>
      <c r="M45" s="188">
        <v>1</v>
      </c>
      <c r="N45" s="189"/>
      <c r="O45" s="187">
        <v>341.08484848484852</v>
      </c>
      <c r="P45" s="188">
        <v>2.9933724211353143E-3</v>
      </c>
      <c r="Q45" s="188">
        <v>1</v>
      </c>
      <c r="R45" s="51"/>
    </row>
    <row r="46" spans="2:18" ht="15" customHeight="1">
      <c r="B46" s="2"/>
      <c r="C46" s="183"/>
      <c r="D46" s="184" t="s">
        <v>114</v>
      </c>
      <c r="E46" s="185">
        <v>8</v>
      </c>
      <c r="F46" s="186"/>
      <c r="G46" s="187">
        <v>160</v>
      </c>
      <c r="H46" s="187">
        <v>0</v>
      </c>
      <c r="I46" s="187">
        <v>0</v>
      </c>
      <c r="J46" s="187">
        <v>160</v>
      </c>
      <c r="K46" s="187">
        <v>20</v>
      </c>
      <c r="L46" s="188">
        <v>3.2781369511781269E-4</v>
      </c>
      <c r="M46" s="188">
        <v>1</v>
      </c>
      <c r="N46" s="189"/>
      <c r="O46" s="187">
        <v>23.245454545454546</v>
      </c>
      <c r="P46" s="188">
        <v>6.8000970884726076E-5</v>
      </c>
      <c r="Q46" s="188">
        <v>0.9346785100705487</v>
      </c>
      <c r="R46" s="51"/>
    </row>
    <row r="47" spans="2:18" ht="15" customHeight="1">
      <c r="B47" s="2"/>
      <c r="C47" s="132" t="s">
        <v>115</v>
      </c>
      <c r="D47" s="133"/>
      <c r="E47" s="55">
        <v>0</v>
      </c>
      <c r="F47" s="66"/>
      <c r="G47" s="56">
        <v>0</v>
      </c>
      <c r="H47" s="56">
        <v>0</v>
      </c>
      <c r="I47" s="56">
        <v>0</v>
      </c>
      <c r="J47" s="56">
        <v>0</v>
      </c>
      <c r="K47" s="56"/>
      <c r="L47" s="57">
        <v>0</v>
      </c>
      <c r="M47" s="57">
        <v>0</v>
      </c>
      <c r="N47" s="134"/>
      <c r="O47" s="56">
        <v>3180.0919999999996</v>
      </c>
      <c r="P47" s="57">
        <v>4.2285753520287508E-3</v>
      </c>
      <c r="Q47" s="57">
        <v>0.80032797397549671</v>
      </c>
      <c r="R47" s="51"/>
    </row>
    <row r="48" spans="2:18" ht="15" customHeight="1">
      <c r="B48" s="2"/>
      <c r="C48" s="183"/>
      <c r="D48" s="184" t="s">
        <v>116</v>
      </c>
      <c r="E48" s="185">
        <v>0</v>
      </c>
      <c r="F48" s="186"/>
      <c r="G48" s="187">
        <v>0</v>
      </c>
      <c r="H48" s="187">
        <v>0</v>
      </c>
      <c r="I48" s="187">
        <v>0</v>
      </c>
      <c r="J48" s="187">
        <v>0</v>
      </c>
      <c r="K48" s="187"/>
      <c r="L48" s="188">
        <v>0</v>
      </c>
      <c r="M48" s="188">
        <v>0</v>
      </c>
      <c r="N48" s="189"/>
      <c r="O48" s="187">
        <v>3180.0919999999996</v>
      </c>
      <c r="P48" s="188">
        <v>4.2285753520287508E-3</v>
      </c>
      <c r="Q48" s="188">
        <v>0.80032797397549671</v>
      </c>
      <c r="R48" s="51"/>
    </row>
    <row r="49" spans="2:18" ht="15" customHeight="1">
      <c r="B49" s="2"/>
      <c r="C49" s="132" t="s">
        <v>117</v>
      </c>
      <c r="D49" s="133"/>
      <c r="E49" s="55">
        <v>949</v>
      </c>
      <c r="F49" s="66"/>
      <c r="G49" s="56">
        <v>200748.59999999998</v>
      </c>
      <c r="H49" s="56">
        <v>807.69999999999936</v>
      </c>
      <c r="I49" s="56">
        <v>19307.18</v>
      </c>
      <c r="J49" s="56">
        <v>99652.600000000108</v>
      </c>
      <c r="K49" s="56">
        <v>105.00800842992625</v>
      </c>
      <c r="L49" s="57">
        <v>0.20417179396310842</v>
      </c>
      <c r="M49" s="57">
        <v>0.59660431006741765</v>
      </c>
      <c r="N49" s="134"/>
      <c r="O49" s="56">
        <v>131.49341528239216</v>
      </c>
      <c r="P49" s="57">
        <v>0.21051588980441879</v>
      </c>
      <c r="Q49" s="57">
        <v>0.74619350470167811</v>
      </c>
      <c r="R49" s="51"/>
    </row>
    <row r="50" spans="2:18" ht="15" customHeight="1">
      <c r="B50" s="2"/>
      <c r="C50" s="183"/>
      <c r="D50" s="184" t="s">
        <v>118</v>
      </c>
      <c r="E50" s="185">
        <v>484</v>
      </c>
      <c r="F50" s="186"/>
      <c r="G50" s="187">
        <v>117733.85</v>
      </c>
      <c r="H50" s="187">
        <v>451.80999999999898</v>
      </c>
      <c r="I50" s="187">
        <v>10322.200000000001</v>
      </c>
      <c r="J50" s="187">
        <v>55268.710000000101</v>
      </c>
      <c r="K50" s="187">
        <v>114.19154958677686</v>
      </c>
      <c r="L50" s="188">
        <v>0.11323650030934254</v>
      </c>
      <c r="M50" s="188">
        <v>0.56094929368231816</v>
      </c>
      <c r="N50" s="189"/>
      <c r="O50" s="187">
        <v>164.24483886483929</v>
      </c>
      <c r="P50" s="188">
        <v>9.0809358166493812E-2</v>
      </c>
      <c r="Q50" s="188">
        <v>0.74340268838307966</v>
      </c>
      <c r="R50" s="51"/>
    </row>
    <row r="51" spans="2:18" ht="15" customHeight="1">
      <c r="B51" s="2"/>
      <c r="C51" s="183"/>
      <c r="D51" s="184" t="s">
        <v>119</v>
      </c>
      <c r="E51" s="185">
        <v>8</v>
      </c>
      <c r="F51" s="186"/>
      <c r="G51" s="187">
        <v>405</v>
      </c>
      <c r="H51" s="187">
        <v>72.900000000000006</v>
      </c>
      <c r="I51" s="187">
        <v>0</v>
      </c>
      <c r="J51" s="187">
        <v>332.1</v>
      </c>
      <c r="K51" s="187">
        <v>41.512500000000003</v>
      </c>
      <c r="L51" s="188">
        <v>6.8041830092891006E-4</v>
      </c>
      <c r="M51" s="188">
        <v>1</v>
      </c>
      <c r="N51" s="189"/>
      <c r="O51" s="187">
        <v>45.02264150943396</v>
      </c>
      <c r="P51" s="188">
        <v>6.3458708144361893E-4</v>
      </c>
      <c r="Q51" s="188">
        <v>0.99999999999999989</v>
      </c>
      <c r="R51" s="51"/>
    </row>
    <row r="52" spans="2:18" ht="15" customHeight="1">
      <c r="B52" s="2"/>
      <c r="C52" s="183"/>
      <c r="D52" s="184" t="s">
        <v>120</v>
      </c>
      <c r="E52" s="185">
        <v>0</v>
      </c>
      <c r="F52" s="186"/>
      <c r="G52" s="187">
        <v>0</v>
      </c>
      <c r="H52" s="187">
        <v>0</v>
      </c>
      <c r="I52" s="187">
        <v>0</v>
      </c>
      <c r="J52" s="187">
        <v>0</v>
      </c>
      <c r="K52" s="187"/>
      <c r="L52" s="188">
        <v>0</v>
      </c>
      <c r="M52" s="188">
        <v>0</v>
      </c>
      <c r="N52" s="189"/>
      <c r="O52" s="187">
        <v>438.5200000000001</v>
      </c>
      <c r="P52" s="188">
        <v>2.3324040478975429E-3</v>
      </c>
      <c r="Q52" s="188">
        <v>0.47777867332957208</v>
      </c>
      <c r="R52" s="51"/>
    </row>
    <row r="53" spans="2:18" ht="15" customHeight="1">
      <c r="B53" s="2"/>
      <c r="C53" s="183"/>
      <c r="D53" s="184" t="s">
        <v>121</v>
      </c>
      <c r="E53" s="185">
        <v>225</v>
      </c>
      <c r="F53" s="186"/>
      <c r="G53" s="187">
        <v>14770.58</v>
      </c>
      <c r="H53" s="187">
        <v>213.21</v>
      </c>
      <c r="I53" s="187">
        <v>1343.95</v>
      </c>
      <c r="J53" s="187">
        <v>9694.52</v>
      </c>
      <c r="K53" s="187">
        <v>43.086755555555555</v>
      </c>
      <c r="L53" s="188">
        <v>1.986247764745961E-2</v>
      </c>
      <c r="M53" s="188">
        <v>0.76176290978417915</v>
      </c>
      <c r="N53" s="189"/>
      <c r="O53" s="187">
        <v>62.825277008310238</v>
      </c>
      <c r="P53" s="188">
        <v>2.412603706832649E-2</v>
      </c>
      <c r="Q53" s="188">
        <v>0.82934846510792881</v>
      </c>
      <c r="R53" s="51"/>
    </row>
    <row r="54" spans="2:18" ht="15" customHeight="1">
      <c r="B54" s="2"/>
      <c r="C54" s="183"/>
      <c r="D54" s="184" t="s">
        <v>122</v>
      </c>
      <c r="E54" s="185">
        <v>0</v>
      </c>
      <c r="F54" s="186"/>
      <c r="G54" s="187">
        <v>0</v>
      </c>
      <c r="H54" s="187">
        <v>0</v>
      </c>
      <c r="I54" s="187">
        <v>0</v>
      </c>
      <c r="J54" s="187">
        <v>0</v>
      </c>
      <c r="K54" s="187"/>
      <c r="L54" s="188">
        <v>0</v>
      </c>
      <c r="M54" s="188">
        <v>0</v>
      </c>
      <c r="N54" s="189"/>
      <c r="O54" s="187">
        <v>127.90041666666667</v>
      </c>
      <c r="P54" s="188">
        <v>8.1633343855089561E-4</v>
      </c>
      <c r="Q54" s="188">
        <v>0.74722597446849948</v>
      </c>
      <c r="R54" s="51"/>
    </row>
    <row r="55" spans="2:18" ht="15" customHeight="1">
      <c r="B55" s="2"/>
      <c r="C55" s="183"/>
      <c r="D55" s="184" t="s">
        <v>123</v>
      </c>
      <c r="E55" s="185">
        <v>3</v>
      </c>
      <c r="F55" s="186"/>
      <c r="G55" s="187">
        <v>418.25</v>
      </c>
      <c r="H55" s="187">
        <v>0.09</v>
      </c>
      <c r="I55" s="187">
        <v>0</v>
      </c>
      <c r="J55" s="187">
        <v>356.91</v>
      </c>
      <c r="K55" s="187">
        <v>118.97000000000001</v>
      </c>
      <c r="L55" s="188">
        <v>7.312499120281159E-4</v>
      </c>
      <c r="M55" s="188">
        <v>0.85355648535564854</v>
      </c>
      <c r="N55" s="189"/>
      <c r="O55" s="187">
        <v>129.52477272727273</v>
      </c>
      <c r="P55" s="188">
        <v>1.5156185105961422E-3</v>
      </c>
      <c r="Q55" s="188">
        <v>0.74538060711460385</v>
      </c>
      <c r="R55" s="51"/>
    </row>
    <row r="56" spans="2:18" ht="15" customHeight="1">
      <c r="B56" s="2"/>
      <c r="C56" s="183"/>
      <c r="D56" s="184" t="s">
        <v>124</v>
      </c>
      <c r="E56" s="185">
        <v>112</v>
      </c>
      <c r="F56" s="186"/>
      <c r="G56" s="187">
        <v>44640.17</v>
      </c>
      <c r="H56" s="187">
        <v>44.580000000000197</v>
      </c>
      <c r="I56" s="187">
        <v>5469.96</v>
      </c>
      <c r="J56" s="187">
        <v>22025.97</v>
      </c>
      <c r="K56" s="187">
        <v>196.66044642857145</v>
      </c>
      <c r="L56" s="188">
        <v>4.5127591339088058E-2</v>
      </c>
      <c r="M56" s="188">
        <v>0.61694455912690294</v>
      </c>
      <c r="N56" s="189"/>
      <c r="O56" s="187">
        <v>193.28869767441876</v>
      </c>
      <c r="P56" s="188">
        <v>5.5258527710686851E-2</v>
      </c>
      <c r="Q56" s="188">
        <v>0.73164031445120559</v>
      </c>
      <c r="R56" s="51"/>
    </row>
    <row r="57" spans="2:18" ht="15" customHeight="1">
      <c r="B57" s="2"/>
      <c r="C57" s="183"/>
      <c r="D57" s="184" t="s">
        <v>125</v>
      </c>
      <c r="E57" s="185">
        <v>115</v>
      </c>
      <c r="F57" s="186"/>
      <c r="G57" s="187">
        <v>22055.95</v>
      </c>
      <c r="H57" s="187">
        <v>24.990000000000101</v>
      </c>
      <c r="I57" s="187">
        <v>1955.11</v>
      </c>
      <c r="J57" s="187">
        <v>11612.05</v>
      </c>
      <c r="K57" s="187">
        <v>100.97434782608696</v>
      </c>
      <c r="L57" s="188">
        <v>2.3791181364954981E-2</v>
      </c>
      <c r="M57" s="188">
        <v>0.61625774450885129</v>
      </c>
      <c r="N57" s="189"/>
      <c r="O57" s="187">
        <v>101.99027429467085</v>
      </c>
      <c r="P57" s="188">
        <v>3.4609380017755924E-2</v>
      </c>
      <c r="Q57" s="188">
        <v>0.75842431131908894</v>
      </c>
      <c r="R57" s="51"/>
    </row>
    <row r="58" spans="2:18" ht="15" customHeight="1">
      <c r="B58" s="2"/>
      <c r="C58" s="183"/>
      <c r="D58" s="184" t="s">
        <v>126</v>
      </c>
      <c r="E58" s="185">
        <v>2</v>
      </c>
      <c r="F58" s="186"/>
      <c r="G58" s="187">
        <v>724.8</v>
      </c>
      <c r="H58" s="187">
        <v>0.12</v>
      </c>
      <c r="I58" s="187">
        <v>215.96</v>
      </c>
      <c r="J58" s="187">
        <v>362.34</v>
      </c>
      <c r="K58" s="187">
        <v>181.17</v>
      </c>
      <c r="L58" s="188">
        <v>7.4237508930617658E-4</v>
      </c>
      <c r="M58" s="188">
        <v>0.79804083885209709</v>
      </c>
      <c r="N58" s="189"/>
      <c r="O58" s="187">
        <v>373.11250000000001</v>
      </c>
      <c r="P58" s="188">
        <v>3.9690281187684568E-4</v>
      </c>
      <c r="Q58" s="188">
        <v>0.74877082584727572</v>
      </c>
      <c r="R58" s="51"/>
    </row>
    <row r="59" spans="2:18" ht="15" customHeight="1">
      <c r="B59" s="2"/>
      <c r="C59" s="183"/>
      <c r="D59" s="184" t="s">
        <v>127</v>
      </c>
      <c r="E59" s="185">
        <v>0</v>
      </c>
      <c r="F59" s="186"/>
      <c r="G59" s="187">
        <v>0</v>
      </c>
      <c r="H59" s="187">
        <v>0</v>
      </c>
      <c r="I59" s="187">
        <v>0</v>
      </c>
      <c r="J59" s="187">
        <v>0</v>
      </c>
      <c r="K59" s="187"/>
      <c r="L59" s="188">
        <v>0</v>
      </c>
      <c r="M59" s="188">
        <v>0</v>
      </c>
      <c r="N59" s="189"/>
      <c r="O59" s="187">
        <v>62.95</v>
      </c>
      <c r="P59" s="188">
        <v>1.6740950790745041E-5</v>
      </c>
      <c r="Q59" s="188">
        <v>1</v>
      </c>
      <c r="R59" s="51"/>
    </row>
    <row r="60" spans="2:18" ht="15" customHeight="1">
      <c r="B60" s="2"/>
      <c r="C60" s="132" t="s">
        <v>128</v>
      </c>
      <c r="D60" s="133"/>
      <c r="E60" s="55">
        <v>319</v>
      </c>
      <c r="F60" s="66"/>
      <c r="G60" s="56">
        <v>16573.13</v>
      </c>
      <c r="H60" s="56">
        <v>0</v>
      </c>
      <c r="I60" s="56">
        <v>0</v>
      </c>
      <c r="J60" s="56">
        <v>13582.13</v>
      </c>
      <c r="K60" s="56">
        <v>42.57721003134796</v>
      </c>
      <c r="L60" s="57">
        <v>2.782755139294061E-2</v>
      </c>
      <c r="M60" s="57">
        <v>0.81952715027276068</v>
      </c>
      <c r="N60" s="134"/>
      <c r="O60" s="56">
        <v>41.004826883910383</v>
      </c>
      <c r="P60" s="57">
        <v>3.2125663836873306E-2</v>
      </c>
      <c r="Q60" s="57">
        <v>0.76592066064731401</v>
      </c>
      <c r="R60" s="51"/>
    </row>
    <row r="61" spans="2:18" ht="15" customHeight="1">
      <c r="B61" s="2"/>
      <c r="C61" s="183"/>
      <c r="D61" s="184" t="s">
        <v>129</v>
      </c>
      <c r="E61" s="185">
        <v>317</v>
      </c>
      <c r="F61" s="186"/>
      <c r="G61" s="187">
        <v>16506</v>
      </c>
      <c r="H61" s="187">
        <v>0</v>
      </c>
      <c r="I61" s="187">
        <v>0</v>
      </c>
      <c r="J61" s="187">
        <v>13545</v>
      </c>
      <c r="K61" s="187">
        <v>42.728706624605678</v>
      </c>
      <c r="L61" s="188">
        <v>2.7751478127317333E-2</v>
      </c>
      <c r="M61" s="188">
        <v>0.82061068702290074</v>
      </c>
      <c r="N61" s="189"/>
      <c r="O61" s="187">
        <v>41.179215215901301</v>
      </c>
      <c r="P61" s="188">
        <v>3.1955656090852665E-2</v>
      </c>
      <c r="Q61" s="188">
        <v>0.76660648363119199</v>
      </c>
      <c r="R61" s="51"/>
    </row>
    <row r="62" spans="2:18" ht="15" customHeight="1">
      <c r="B62" s="2"/>
      <c r="C62" s="183"/>
      <c r="D62" s="184" t="s">
        <v>130</v>
      </c>
      <c r="E62" s="185">
        <v>2</v>
      </c>
      <c r="F62" s="186"/>
      <c r="G62" s="187">
        <v>67.13</v>
      </c>
      <c r="H62" s="187">
        <v>0</v>
      </c>
      <c r="I62" s="187">
        <v>0</v>
      </c>
      <c r="J62" s="187">
        <v>37.130000000000003</v>
      </c>
      <c r="K62" s="187">
        <v>18.565000000000001</v>
      </c>
      <c r="L62" s="188">
        <v>7.6073265623277417E-5</v>
      </c>
      <c r="M62" s="188">
        <v>0.55310591389840613</v>
      </c>
      <c r="N62" s="189"/>
      <c r="O62" s="187">
        <v>22.831071428571427</v>
      </c>
      <c r="P62" s="188">
        <v>1.7000774602064466E-4</v>
      </c>
      <c r="Q62" s="188">
        <v>0.66136058338130854</v>
      </c>
      <c r="R62" s="51"/>
    </row>
    <row r="63" spans="2:18" ht="15" customHeight="1">
      <c r="B63" s="2"/>
      <c r="C63" s="132" t="s">
        <v>131</v>
      </c>
      <c r="D63" s="133"/>
      <c r="E63" s="55">
        <v>57096</v>
      </c>
      <c r="F63" s="66"/>
      <c r="G63" s="56">
        <v>595175.54999999644</v>
      </c>
      <c r="H63" s="56">
        <v>330616.05000002298</v>
      </c>
      <c r="I63" s="56">
        <v>11053.979999999998</v>
      </c>
      <c r="J63" s="56">
        <v>201533.56000000378</v>
      </c>
      <c r="K63" s="56">
        <v>3.5297316799775817</v>
      </c>
      <c r="L63" s="57">
        <v>0.41290913121154632</v>
      </c>
      <c r="M63" s="57">
        <v>0.91267793174635603</v>
      </c>
      <c r="N63" s="134"/>
      <c r="O63" s="56">
        <v>4.2845221881843516</v>
      </c>
      <c r="P63" s="57">
        <v>0.37045985647252905</v>
      </c>
      <c r="Q63" s="57">
        <v>0.93212435014934381</v>
      </c>
      <c r="R63" s="51"/>
    </row>
    <row r="64" spans="2:18" ht="15" customHeight="1">
      <c r="B64" s="2"/>
      <c r="C64" s="183"/>
      <c r="D64" s="184" t="s">
        <v>132</v>
      </c>
      <c r="E64" s="185">
        <v>2079</v>
      </c>
      <c r="F64" s="186"/>
      <c r="G64" s="187">
        <v>49491.719999999601</v>
      </c>
      <c r="H64" s="187">
        <v>30086.390000000101</v>
      </c>
      <c r="I64" s="187">
        <v>0</v>
      </c>
      <c r="J64" s="187">
        <v>19405.3300000001</v>
      </c>
      <c r="K64" s="187">
        <v>9.3339730639730654</v>
      </c>
      <c r="L64" s="188">
        <v>3.975833082675341E-2</v>
      </c>
      <c r="M64" s="188">
        <v>1</v>
      </c>
      <c r="N64" s="189"/>
      <c r="O64" s="187">
        <v>9.2234805394452088</v>
      </c>
      <c r="P64" s="188">
        <v>3.5103401619454508E-2</v>
      </c>
      <c r="Q64" s="188">
        <v>0.99929611270573637</v>
      </c>
      <c r="R64" s="51"/>
    </row>
    <row r="65" spans="2:18" ht="15" customHeight="1">
      <c r="B65" s="2"/>
      <c r="C65" s="183"/>
      <c r="D65" s="184" t="s">
        <v>84</v>
      </c>
      <c r="E65" s="185">
        <v>60</v>
      </c>
      <c r="F65" s="186"/>
      <c r="G65" s="187">
        <v>3191.87</v>
      </c>
      <c r="H65" s="187">
        <v>1349.25</v>
      </c>
      <c r="I65" s="187">
        <v>0</v>
      </c>
      <c r="J65" s="187">
        <v>1126.3</v>
      </c>
      <c r="K65" s="187">
        <v>18.771666666666665</v>
      </c>
      <c r="L65" s="188">
        <v>2.3076035300699529E-3</v>
      </c>
      <c r="M65" s="188">
        <v>0.77557983251197582</v>
      </c>
      <c r="N65" s="189"/>
      <c r="O65" s="187">
        <v>20.847408805031439</v>
      </c>
      <c r="P65" s="188">
        <v>8.8152288708836565E-3</v>
      </c>
      <c r="Q65" s="188">
        <v>0.8398220230946104</v>
      </c>
      <c r="R65" s="51"/>
    </row>
    <row r="66" spans="2:18" ht="15" customHeight="1">
      <c r="B66" s="2"/>
      <c r="C66" s="183"/>
      <c r="D66" s="184" t="s">
        <v>133</v>
      </c>
      <c r="E66" s="185">
        <v>5742</v>
      </c>
      <c r="F66" s="186"/>
      <c r="G66" s="187">
        <v>83204.029999999795</v>
      </c>
      <c r="H66" s="187">
        <v>47716.6000000001</v>
      </c>
      <c r="I66" s="187">
        <v>-8.44</v>
      </c>
      <c r="J66" s="187">
        <v>31660.810000000401</v>
      </c>
      <c r="K66" s="187">
        <v>5.5138993382096837</v>
      </c>
      <c r="L66" s="188">
        <v>6.4867794478268723E-2</v>
      </c>
      <c r="M66" s="188">
        <v>0.95390776143895917</v>
      </c>
      <c r="N66" s="189"/>
      <c r="O66" s="187">
        <v>6.8176008703594055</v>
      </c>
      <c r="P66" s="188">
        <v>6.7493559181799209E-2</v>
      </c>
      <c r="Q66" s="188">
        <v>0.94877191246507853</v>
      </c>
      <c r="R66" s="51"/>
    </row>
    <row r="67" spans="2:18" ht="15" customHeight="1">
      <c r="B67" s="2"/>
      <c r="C67" s="183"/>
      <c r="D67" s="184" t="s">
        <v>134</v>
      </c>
      <c r="E67" s="185">
        <v>9887</v>
      </c>
      <c r="F67" s="186"/>
      <c r="G67" s="187">
        <v>272733.06</v>
      </c>
      <c r="H67" s="187">
        <v>144597.68000000299</v>
      </c>
      <c r="I67" s="187">
        <v>11178.63</v>
      </c>
      <c r="J67" s="187">
        <v>79834.979999999501</v>
      </c>
      <c r="K67" s="187">
        <v>8.0747425912814812</v>
      </c>
      <c r="L67" s="188">
        <v>0.16356874870910421</v>
      </c>
      <c r="M67" s="188">
        <v>0.86388973159322902</v>
      </c>
      <c r="N67" s="189"/>
      <c r="O67" s="187">
        <v>10.502637254544746</v>
      </c>
      <c r="P67" s="188">
        <v>0.15333428559513604</v>
      </c>
      <c r="Q67" s="188">
        <v>0.89677471905292239</v>
      </c>
      <c r="R67" s="51"/>
    </row>
    <row r="68" spans="2:18" ht="15" customHeight="1">
      <c r="B68" s="2"/>
      <c r="C68" s="183"/>
      <c r="D68" s="184" t="s">
        <v>135</v>
      </c>
      <c r="E68" s="185">
        <v>1598</v>
      </c>
      <c r="F68" s="186"/>
      <c r="G68" s="187">
        <v>60697.010000000097</v>
      </c>
      <c r="H68" s="187">
        <v>34789.889999999898</v>
      </c>
      <c r="I68" s="187">
        <v>53.72</v>
      </c>
      <c r="J68" s="187">
        <v>15686.55</v>
      </c>
      <c r="K68" s="187">
        <v>9.8163642052565709</v>
      </c>
      <c r="L68" s="188">
        <v>3.2139161994689532E-2</v>
      </c>
      <c r="M68" s="188">
        <v>0.83249833888028424</v>
      </c>
      <c r="N68" s="189"/>
      <c r="O68" s="187">
        <v>12.048909998613269</v>
      </c>
      <c r="P68" s="188">
        <v>2.3106152815871996E-2</v>
      </c>
      <c r="Q68" s="188">
        <v>0.87311641590906175</v>
      </c>
      <c r="R68" s="51"/>
    </row>
    <row r="69" spans="2:18" ht="15" customHeight="1">
      <c r="B69" s="2"/>
      <c r="C69" s="183"/>
      <c r="D69" s="184" t="s">
        <v>136</v>
      </c>
      <c r="E69" s="185">
        <v>37700</v>
      </c>
      <c r="F69" s="186"/>
      <c r="G69" s="187">
        <v>125267.399999997</v>
      </c>
      <c r="H69" s="187">
        <v>71721.960000019899</v>
      </c>
      <c r="I69" s="187">
        <v>-169.93</v>
      </c>
      <c r="J69" s="187">
        <v>53583.410000003802</v>
      </c>
      <c r="K69" s="187">
        <v>1.4213106100795756</v>
      </c>
      <c r="L69" s="188">
        <v>0.10978359768195474</v>
      </c>
      <c r="M69" s="188">
        <v>0.99894657348999027</v>
      </c>
      <c r="N69" s="189"/>
      <c r="O69" s="187">
        <v>1.4762485818611941</v>
      </c>
      <c r="P69" s="188">
        <v>8.2359196377239319E-2</v>
      </c>
      <c r="Q69" s="188">
        <v>0.99811187508445953</v>
      </c>
      <c r="R69" s="51"/>
    </row>
    <row r="70" spans="2:18" ht="15" customHeight="1">
      <c r="B70" s="2"/>
      <c r="C70" s="183"/>
      <c r="D70" s="184" t="s">
        <v>137</v>
      </c>
      <c r="E70" s="185">
        <v>30</v>
      </c>
      <c r="F70" s="186"/>
      <c r="G70" s="187">
        <v>590.46</v>
      </c>
      <c r="H70" s="187">
        <v>354.28</v>
      </c>
      <c r="I70" s="187">
        <v>0</v>
      </c>
      <c r="J70" s="187">
        <v>236.18</v>
      </c>
      <c r="K70" s="187">
        <v>7.8726666666666665</v>
      </c>
      <c r="L70" s="188">
        <v>4.838939907057813E-4</v>
      </c>
      <c r="M70" s="188">
        <v>1</v>
      </c>
      <c r="N70" s="189"/>
      <c r="O70" s="187">
        <v>8.4787272727272711</v>
      </c>
      <c r="P70" s="188">
        <v>2.4803201214449984E-4</v>
      </c>
      <c r="Q70" s="188">
        <v>0.99999999999999978</v>
      </c>
      <c r="R70" s="51"/>
    </row>
    <row r="71" spans="2:18" ht="15" customHeight="1">
      <c r="B71" s="2"/>
      <c r="C71" s="135" t="s">
        <v>46</v>
      </c>
      <c r="D71" s="136"/>
      <c r="E71" s="124">
        <v>62001</v>
      </c>
      <c r="F71" s="125"/>
      <c r="G71" s="126">
        <v>1301654.3199999963</v>
      </c>
      <c r="H71" s="126">
        <v>522273.61000002292</v>
      </c>
      <c r="I71" s="126">
        <v>45549.81</v>
      </c>
      <c r="J71" s="126">
        <v>488082.11000000389</v>
      </c>
      <c r="K71" s="126">
        <v>7.8721651263689925</v>
      </c>
      <c r="L71" s="127">
        <v>0.99999999999999201</v>
      </c>
      <c r="M71" s="127">
        <v>0.81120272393059767</v>
      </c>
      <c r="N71" s="134"/>
      <c r="O71" s="126">
        <v>10.510276016860093</v>
      </c>
      <c r="P71" s="127">
        <v>1</v>
      </c>
      <c r="Q71" s="127">
        <v>0.86683026342693137</v>
      </c>
      <c r="R71" s="51"/>
    </row>
    <row r="72" spans="2:18" ht="15" customHeight="1">
      <c r="B72" s="2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3"/>
      <c r="Q72" s="13"/>
      <c r="R72" s="51"/>
    </row>
    <row r="73" spans="2:18" ht="15" customHeight="1">
      <c r="B73" s="2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3"/>
      <c r="Q73" s="13"/>
      <c r="R73" s="51"/>
    </row>
    <row r="74" spans="2:18" ht="15" customHeight="1">
      <c r="B74" s="2"/>
      <c r="C74" s="136" t="s">
        <v>138</v>
      </c>
      <c r="D74" s="136"/>
      <c r="E74" s="1"/>
      <c r="F74" s="1"/>
      <c r="G74" s="1"/>
      <c r="H74" s="166">
        <v>0.49459999999999998</v>
      </c>
      <c r="I74" s="166">
        <v>4.3099999999999999E-2</v>
      </c>
      <c r="J74" s="166">
        <v>0.46230000000000004</v>
      </c>
      <c r="K74" s="1"/>
      <c r="L74" s="1"/>
      <c r="M74" s="1"/>
      <c r="N74" s="1"/>
      <c r="O74" s="1"/>
      <c r="P74" s="13"/>
      <c r="Q74" s="13"/>
      <c r="R74" s="51"/>
    </row>
    <row r="75" spans="2:18" ht="15" customHeight="1">
      <c r="B75" s="2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3"/>
      <c r="Q75" s="13"/>
      <c r="R75" s="51"/>
    </row>
    <row r="76" spans="2:18" ht="15" customHeight="1">
      <c r="B76" s="2"/>
      <c r="C76" s="136" t="s">
        <v>139</v>
      </c>
      <c r="D76" s="136"/>
      <c r="E76" s="1"/>
      <c r="F76" s="1"/>
      <c r="G76" s="126"/>
      <c r="H76" s="126"/>
      <c r="I76" s="126"/>
      <c r="J76" s="126"/>
      <c r="K76" s="1"/>
      <c r="L76" s="1"/>
      <c r="M76" s="1"/>
      <c r="N76" s="1"/>
      <c r="O76" s="1"/>
      <c r="P76" s="13"/>
      <c r="Q76" s="13"/>
      <c r="R76" s="51"/>
    </row>
    <row r="77" spans="2:18" ht="15" customHeight="1">
      <c r="B77" s="2"/>
      <c r="C77" s="136" t="s">
        <v>140</v>
      </c>
      <c r="D77" s="136"/>
      <c r="E77" s="1"/>
      <c r="F77" s="1"/>
      <c r="G77" s="126"/>
      <c r="H77" s="126"/>
      <c r="I77" s="126"/>
      <c r="J77" s="126"/>
      <c r="K77" s="1"/>
      <c r="L77" s="1"/>
      <c r="M77" s="1"/>
      <c r="N77" s="1"/>
      <c r="O77" s="1"/>
      <c r="P77" s="13"/>
      <c r="Q77" s="13"/>
      <c r="R77" s="51"/>
    </row>
    <row r="78" spans="2:18" ht="15" customHeight="1">
      <c r="B78" s="2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3"/>
      <c r="Q78" s="13"/>
      <c r="R78" s="51"/>
    </row>
    <row r="79" spans="2:18" ht="15" customHeight="1">
      <c r="B79" s="2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3"/>
      <c r="Q79" s="13"/>
      <c r="R79" s="51"/>
    </row>
    <row r="80" spans="2:18" ht="12" customHeight="1">
      <c r="B80" s="3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8"/>
      <c r="Q80" s="138"/>
      <c r="R80" s="52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4.28515625" customWidth="1"/>
    <col min="4" max="9" width="11.42578125" customWidth="1"/>
    <col min="10" max="11" width="18.5703125" customWidth="1"/>
    <col min="12" max="12" width="4.28515625" customWidth="1"/>
    <col min="13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 spans="1:30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30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1:30">
      <c r="B3" s="2"/>
      <c r="S3" s="51"/>
    </row>
    <row r="4" spans="1:30">
      <c r="B4" s="2"/>
      <c r="H4" s="33"/>
      <c r="S4" s="51"/>
    </row>
    <row r="5" spans="1:30">
      <c r="B5" s="2"/>
      <c r="S5" s="51"/>
    </row>
    <row r="6" spans="1:30">
      <c r="B6" s="2"/>
      <c r="S6" s="51"/>
    </row>
    <row r="7" spans="1:30">
      <c r="B7" s="2"/>
      <c r="S7" s="51"/>
    </row>
    <row r="8" spans="1:30" ht="60" customHeight="1">
      <c r="B8" s="2"/>
      <c r="C8" s="238" t="str">
        <f>'Page de garde'!C13&amp;" : Détail des Prestations Réglées - Synthèse par famille d'actes"</f>
        <v xml:space="preserve"> : Détail des Prestations Réglées - Synthèse par famille d'actes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51"/>
    </row>
    <row r="9" spans="1:30" ht="11.25" customHeight="1">
      <c r="B9" s="2"/>
      <c r="S9" s="51"/>
    </row>
    <row r="10" spans="1:30" ht="7.5" customHeight="1">
      <c r="B10" s="2"/>
      <c r="S10" s="51"/>
    </row>
    <row r="11" spans="1:30">
      <c r="B11" s="2"/>
      <c r="D11" s="257" t="s">
        <v>141</v>
      </c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57"/>
      <c r="P11" s="257"/>
      <c r="Q11" s="257"/>
      <c r="S11" s="51"/>
    </row>
    <row r="12" spans="1:30">
      <c r="B12" s="2"/>
      <c r="S12" s="51"/>
      <c r="AD12" s="61"/>
    </row>
    <row r="13" spans="1:30" s="59" customFormat="1">
      <c r="A13" s="58"/>
      <c r="B13" s="2"/>
      <c r="D13" s="257" t="s">
        <v>142</v>
      </c>
      <c r="E13" s="257"/>
      <c r="F13" s="257"/>
      <c r="G13" s="257"/>
      <c r="H13" s="62"/>
      <c r="O13" s="257" t="s">
        <v>143</v>
      </c>
      <c r="P13" s="257"/>
      <c r="Q13" s="257"/>
      <c r="S13" s="51"/>
    </row>
    <row r="14" spans="1:30">
      <c r="B14" s="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1"/>
    </row>
    <row r="15" spans="1:30"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1"/>
    </row>
    <row r="16" spans="1:30">
      <c r="B16" s="2"/>
      <c r="C16" s="5"/>
      <c r="D16" s="5"/>
      <c r="E16" s="5"/>
      <c r="F16" s="60"/>
      <c r="G16" s="60"/>
      <c r="H16" s="60"/>
      <c r="I16" s="60"/>
      <c r="J16" s="60"/>
      <c r="K16" s="60"/>
      <c r="L16" s="60"/>
      <c r="M16" s="60"/>
      <c r="N16" s="5"/>
      <c r="O16" s="5"/>
      <c r="P16" s="5"/>
      <c r="Q16" s="5"/>
      <c r="R16" s="5"/>
      <c r="S16" s="51"/>
    </row>
    <row r="17" spans="1:19">
      <c r="B17" s="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1"/>
    </row>
    <row r="18" spans="1:19">
      <c r="B18" s="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1"/>
    </row>
    <row r="19" spans="1:19">
      <c r="B19" s="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1"/>
    </row>
    <row r="20" spans="1:19">
      <c r="B20" s="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1"/>
    </row>
    <row r="21" spans="1:19">
      <c r="B21" s="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1"/>
    </row>
    <row r="22" spans="1:19">
      <c r="B22" s="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1"/>
    </row>
    <row r="23" spans="1:19">
      <c r="B23" s="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1"/>
    </row>
    <row r="24" spans="1:19">
      <c r="B24" s="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1"/>
    </row>
    <row r="25" spans="1:19">
      <c r="B25" s="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1"/>
    </row>
    <row r="26" spans="1:19">
      <c r="B26" s="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1"/>
    </row>
    <row r="27" spans="1:19">
      <c r="B27" s="2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1"/>
    </row>
    <row r="28" spans="1:19">
      <c r="B28" s="2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1"/>
    </row>
    <row r="29" spans="1:19" s="59" customFormat="1">
      <c r="A29" s="58"/>
      <c r="B29" s="2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1"/>
    </row>
    <row r="30" spans="1:19">
      <c r="B30" s="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1"/>
    </row>
    <row r="31" spans="1:19" s="59" customFormat="1">
      <c r="A31" s="58"/>
      <c r="B31" s="2"/>
      <c r="C31" s="58"/>
      <c r="D31" s="258" t="s">
        <v>144</v>
      </c>
      <c r="E31" s="258"/>
      <c r="F31" s="258"/>
      <c r="G31" s="258"/>
      <c r="H31" s="58"/>
      <c r="I31" s="58"/>
      <c r="L31" s="58"/>
      <c r="M31" s="58"/>
      <c r="O31" s="130" t="s">
        <v>145</v>
      </c>
      <c r="P31" s="63"/>
      <c r="Q31" s="63"/>
      <c r="R31" s="58"/>
      <c r="S31" s="51"/>
    </row>
    <row r="32" spans="1:19" s="128" customFormat="1" ht="24">
      <c r="B32" s="76"/>
      <c r="J32" s="129" t="s">
        <v>146</v>
      </c>
      <c r="K32" s="129" t="s">
        <v>147</v>
      </c>
      <c r="S32" s="77"/>
    </row>
    <row r="33" spans="2:19">
      <c r="B33" s="2"/>
      <c r="H33" s="62"/>
      <c r="K33" s="68"/>
      <c r="S33" s="51"/>
    </row>
    <row r="34" spans="2:19">
      <c r="B34" s="2"/>
      <c r="C34" s="5"/>
      <c r="D34" s="5"/>
      <c r="E34" s="5">
        <v>0</v>
      </c>
      <c r="F34" s="5"/>
      <c r="G34" s="5"/>
      <c r="H34" s="5"/>
      <c r="I34" s="5"/>
      <c r="J34" s="64">
        <v>0.91267793174640655</v>
      </c>
      <c r="K34" s="65">
        <v>0.93212435014934369</v>
      </c>
      <c r="L34" s="5"/>
      <c r="M34" s="5"/>
      <c r="N34" s="5"/>
      <c r="O34" s="5"/>
      <c r="P34" s="5"/>
      <c r="Q34" s="5"/>
      <c r="R34" s="5"/>
      <c r="S34" s="51"/>
    </row>
    <row r="35" spans="2:19">
      <c r="B35" s="2"/>
      <c r="C35" s="5"/>
      <c r="D35" s="5"/>
      <c r="E35" s="5"/>
      <c r="F35" s="5"/>
      <c r="G35" s="5"/>
      <c r="H35" s="5"/>
      <c r="I35" s="5"/>
      <c r="J35" s="64">
        <v>0.81952715027276068</v>
      </c>
      <c r="K35" s="65">
        <v>0.76592066064731401</v>
      </c>
      <c r="L35" s="5"/>
      <c r="M35" s="5"/>
      <c r="N35" s="5"/>
      <c r="O35" s="5"/>
      <c r="P35" s="5"/>
      <c r="Q35" s="5"/>
      <c r="R35" s="5"/>
      <c r="S35" s="51"/>
    </row>
    <row r="36" spans="2:19">
      <c r="B36" s="2"/>
      <c r="C36" s="5"/>
      <c r="D36" s="5"/>
      <c r="E36" s="5"/>
      <c r="F36" s="5"/>
      <c r="G36" s="5"/>
      <c r="H36" s="5"/>
      <c r="I36" s="5"/>
      <c r="J36" s="64">
        <v>0.59660431006741832</v>
      </c>
      <c r="K36" s="65">
        <v>0.746193504701678</v>
      </c>
      <c r="L36" s="5"/>
      <c r="M36" s="5"/>
      <c r="N36" s="5"/>
      <c r="O36" s="5"/>
      <c r="P36" s="5"/>
      <c r="Q36" s="5"/>
      <c r="R36" s="5"/>
      <c r="S36" s="51"/>
    </row>
    <row r="37" spans="2:19">
      <c r="B37" s="2"/>
      <c r="C37" s="5"/>
      <c r="D37" s="5"/>
      <c r="E37" s="5"/>
      <c r="F37" s="5"/>
      <c r="G37" s="5"/>
      <c r="H37" s="5"/>
      <c r="I37" s="5"/>
      <c r="J37" s="64">
        <v>0.90448924786080409</v>
      </c>
      <c r="K37" s="65">
        <v>0.92379302777816719</v>
      </c>
      <c r="L37" s="5"/>
      <c r="M37" s="5"/>
      <c r="N37" s="5"/>
      <c r="O37" s="5"/>
      <c r="P37" s="5"/>
      <c r="Q37" s="5"/>
      <c r="R37" s="5"/>
      <c r="S37" s="51"/>
    </row>
    <row r="38" spans="2:19">
      <c r="B38" s="2"/>
      <c r="C38" s="5"/>
      <c r="D38" s="5"/>
      <c r="E38" s="5"/>
      <c r="F38" s="5"/>
      <c r="G38" s="5"/>
      <c r="H38" s="5"/>
      <c r="I38" s="5"/>
      <c r="J38" s="64">
        <v>0.70017448635506352</v>
      </c>
      <c r="K38" s="65">
        <v>0.78084608407273204</v>
      </c>
      <c r="L38" s="5"/>
      <c r="M38" s="5"/>
      <c r="N38" s="5"/>
      <c r="O38" s="5"/>
      <c r="P38" s="5"/>
      <c r="Q38" s="5"/>
      <c r="R38" s="5"/>
      <c r="S38" s="51"/>
    </row>
    <row r="39" spans="2:19">
      <c r="B39" s="2"/>
      <c r="C39" s="5"/>
      <c r="D39" s="5"/>
      <c r="E39" s="5"/>
      <c r="F39" s="5"/>
      <c r="G39" s="5"/>
      <c r="H39" s="5"/>
      <c r="I39" s="5"/>
      <c r="J39" s="64">
        <v>0.71864415819932259</v>
      </c>
      <c r="K39" s="65">
        <v>0.73116169777035955</v>
      </c>
      <c r="L39" s="5"/>
      <c r="M39" s="5"/>
      <c r="N39" s="5"/>
      <c r="O39" s="5"/>
      <c r="P39" s="5"/>
      <c r="Q39" s="5"/>
      <c r="R39" s="5"/>
      <c r="S39" s="51"/>
    </row>
    <row r="40" spans="2:19">
      <c r="B40" s="2"/>
      <c r="C40" s="5"/>
      <c r="D40" s="5"/>
      <c r="E40" s="5"/>
      <c r="F40" s="5"/>
      <c r="G40" s="5"/>
      <c r="H40" s="5"/>
      <c r="I40" s="5"/>
      <c r="J40" s="64">
        <v>1</v>
      </c>
      <c r="K40" s="65">
        <v>0.9894604440758682</v>
      </c>
      <c r="L40" s="5"/>
      <c r="M40" s="5"/>
      <c r="N40" s="5"/>
      <c r="O40" s="5"/>
      <c r="P40" s="5"/>
      <c r="Q40" s="5"/>
      <c r="R40" s="5"/>
      <c r="S40" s="51"/>
    </row>
    <row r="41" spans="2:19">
      <c r="B41" s="2"/>
      <c r="C41" s="5"/>
      <c r="D41" s="5"/>
      <c r="E41" s="5"/>
      <c r="F41" s="5"/>
      <c r="G41" s="5"/>
      <c r="H41" s="5"/>
      <c r="I41" s="5"/>
      <c r="J41" s="64">
        <v>0.73664308096610798</v>
      </c>
      <c r="K41" s="65">
        <v>0.8184083512135526</v>
      </c>
      <c r="L41" s="5"/>
      <c r="M41" s="5"/>
      <c r="N41" s="5"/>
      <c r="O41" s="5"/>
      <c r="P41" s="5"/>
      <c r="Q41" s="5"/>
      <c r="R41" s="5"/>
      <c r="S41" s="51"/>
    </row>
    <row r="42" spans="2:19">
      <c r="B42" s="2"/>
      <c r="C42" s="5"/>
      <c r="D42" s="5"/>
      <c r="E42" s="5"/>
      <c r="F42" s="5"/>
      <c r="G42" s="5"/>
      <c r="H42" s="5"/>
      <c r="I42" s="5"/>
      <c r="J42" s="64">
        <v>0.62398769977502344</v>
      </c>
      <c r="K42" s="65">
        <v>0.62398769977502355</v>
      </c>
      <c r="L42" s="5"/>
      <c r="M42" s="5"/>
      <c r="N42" s="5"/>
      <c r="O42" s="5"/>
      <c r="P42" s="5"/>
      <c r="Q42" s="5"/>
      <c r="R42" s="5"/>
      <c r="S42" s="51"/>
    </row>
    <row r="43" spans="2:19">
      <c r="B43" s="2"/>
      <c r="C43" s="5"/>
      <c r="D43" s="5"/>
      <c r="E43" s="5"/>
      <c r="F43" s="5"/>
      <c r="G43" s="5"/>
      <c r="H43" s="5"/>
      <c r="I43" s="5"/>
      <c r="J43" s="64">
        <v>0.68167768501362702</v>
      </c>
      <c r="K43" s="65">
        <v>0.68167768501362691</v>
      </c>
      <c r="L43" s="5"/>
      <c r="M43" s="5"/>
      <c r="N43" s="5"/>
      <c r="O43" s="5"/>
      <c r="P43" s="5"/>
      <c r="Q43" s="5"/>
      <c r="R43" s="5"/>
      <c r="S43" s="51"/>
    </row>
    <row r="44" spans="2:19">
      <c r="B44" s="2"/>
      <c r="C44" s="5"/>
      <c r="D44" s="5"/>
      <c r="E44" s="5"/>
      <c r="F44" s="5"/>
      <c r="G44" s="5"/>
      <c r="H44" s="5"/>
      <c r="I44" s="5"/>
      <c r="J44" s="64"/>
      <c r="K44" s="65"/>
      <c r="L44" s="5"/>
      <c r="M44" s="5"/>
      <c r="N44" s="5"/>
      <c r="O44" s="5"/>
      <c r="P44" s="5"/>
      <c r="Q44" s="5"/>
      <c r="R44" s="5"/>
      <c r="S44" s="51"/>
    </row>
    <row r="45" spans="2:19">
      <c r="B45" s="2"/>
      <c r="C45" s="5"/>
      <c r="D45" s="5"/>
      <c r="E45" s="5"/>
      <c r="F45" s="5"/>
      <c r="G45" s="5"/>
      <c r="H45" s="5"/>
      <c r="I45" s="5"/>
      <c r="J45" s="64"/>
      <c r="K45" s="65"/>
      <c r="L45" s="5"/>
      <c r="M45" s="5"/>
      <c r="N45" s="5"/>
      <c r="O45" s="5"/>
      <c r="P45" s="5"/>
      <c r="Q45" s="5"/>
      <c r="R45" s="5"/>
      <c r="S45" s="51"/>
    </row>
    <row r="46" spans="2:19">
      <c r="B46" s="2"/>
      <c r="C46" s="5"/>
      <c r="D46" s="5"/>
      <c r="E46" s="5"/>
      <c r="F46" s="5"/>
      <c r="G46" s="5"/>
      <c r="H46" s="5"/>
      <c r="I46" s="5"/>
      <c r="J46" s="64"/>
      <c r="K46" s="65"/>
      <c r="L46" s="5"/>
      <c r="M46" s="5"/>
      <c r="N46" s="5"/>
      <c r="O46" s="5"/>
      <c r="P46" s="5"/>
      <c r="Q46" s="5"/>
      <c r="R46" s="5"/>
      <c r="S46" s="51"/>
    </row>
    <row r="47" spans="2:19">
      <c r="B47" s="2"/>
      <c r="C47" s="5"/>
      <c r="D47" s="5"/>
      <c r="E47" s="5"/>
      <c r="F47" s="5"/>
      <c r="G47" s="5"/>
      <c r="H47" s="5"/>
      <c r="I47" s="5"/>
      <c r="J47" s="64"/>
      <c r="K47" s="65"/>
      <c r="L47" s="5"/>
      <c r="M47" s="5"/>
      <c r="N47" s="5"/>
      <c r="O47" s="5"/>
      <c r="P47" s="5"/>
      <c r="Q47" s="5"/>
      <c r="R47" s="5"/>
      <c r="S47" s="51"/>
    </row>
    <row r="48" spans="2:19">
      <c r="B48" s="2"/>
      <c r="C48" s="5"/>
      <c r="D48" s="5"/>
      <c r="E48" s="5"/>
      <c r="F48" s="5"/>
      <c r="G48" s="5"/>
      <c r="H48" s="5"/>
      <c r="I48" s="5"/>
      <c r="J48" s="64"/>
      <c r="K48" s="65"/>
      <c r="L48" s="5"/>
      <c r="M48" s="5"/>
      <c r="N48" s="5"/>
      <c r="O48" s="5"/>
      <c r="P48" s="5"/>
      <c r="Q48" s="5"/>
      <c r="R48" s="5"/>
      <c r="S48" s="51"/>
    </row>
    <row r="49" spans="2:19">
      <c r="B49" s="2"/>
      <c r="C49" s="5"/>
      <c r="D49" s="5"/>
      <c r="E49" s="5"/>
      <c r="F49" s="5"/>
      <c r="G49" s="5"/>
      <c r="H49" s="5"/>
      <c r="I49" s="5"/>
      <c r="J49" s="69"/>
      <c r="K49" s="67"/>
      <c r="L49" s="5"/>
      <c r="M49" s="5"/>
      <c r="N49" s="5"/>
      <c r="O49" s="5"/>
      <c r="P49" s="5"/>
      <c r="Q49" s="5"/>
      <c r="R49" s="5"/>
      <c r="S49" s="51"/>
    </row>
    <row r="50" spans="2:19">
      <c r="B50" s="2"/>
      <c r="J50" s="68"/>
      <c r="K50" s="68"/>
      <c r="S50" s="51"/>
    </row>
    <row r="51" spans="2:19">
      <c r="B51" s="3"/>
      <c r="C51" s="4"/>
      <c r="D51" s="4"/>
      <c r="E51" s="4"/>
      <c r="F51" s="4"/>
      <c r="G51" s="4"/>
      <c r="H51" s="4"/>
      <c r="I51" s="4"/>
      <c r="J51" s="70"/>
      <c r="K51" s="4"/>
      <c r="L51" s="4"/>
      <c r="M51" s="4"/>
      <c r="N51" s="4"/>
      <c r="O51" s="4"/>
      <c r="P51" s="4"/>
      <c r="Q51" s="4"/>
      <c r="R51" s="4"/>
      <c r="S51" s="52"/>
    </row>
    <row r="66" spans="5:14">
      <c r="E66" s="164"/>
      <c r="F66" s="165" t="s">
        <v>148</v>
      </c>
      <c r="G66" s="165" t="s">
        <v>149</v>
      </c>
      <c r="H66" s="165" t="s">
        <v>79</v>
      </c>
      <c r="I66" s="165" t="s">
        <v>77</v>
      </c>
      <c r="J66" s="165" t="s">
        <v>150</v>
      </c>
      <c r="K66" s="165" t="s">
        <v>79</v>
      </c>
      <c r="L66" s="165" t="s">
        <v>151</v>
      </c>
      <c r="M66" s="165" t="s">
        <v>148</v>
      </c>
      <c r="N66" s="165" t="s">
        <v>149</v>
      </c>
    </row>
    <row r="67" spans="5:14">
      <c r="E67" s="164" t="s">
        <v>83</v>
      </c>
      <c r="F67" s="164">
        <v>13270.3</v>
      </c>
      <c r="G67" s="164">
        <v>205583.18000000005</v>
      </c>
      <c r="H67" s="164">
        <v>13270.3</v>
      </c>
      <c r="I67" s="164">
        <v>17798</v>
      </c>
      <c r="J67" s="164">
        <v>1060.69</v>
      </c>
      <c r="K67" s="164">
        <v>13270.3</v>
      </c>
      <c r="L67" s="164">
        <v>11486.420000000002</v>
      </c>
      <c r="M67" s="164">
        <v>12.971945259042032</v>
      </c>
      <c r="N67" s="164">
        <v>22.551906537955251</v>
      </c>
    </row>
    <row r="68" spans="5:14">
      <c r="E68" s="164" t="s">
        <v>90</v>
      </c>
      <c r="F68" s="164">
        <v>5436.34</v>
      </c>
      <c r="G68" s="164">
        <v>28427.72</v>
      </c>
      <c r="H68" s="164">
        <v>5436.34</v>
      </c>
      <c r="I68" s="164">
        <v>0</v>
      </c>
      <c r="J68" s="164">
        <v>0</v>
      </c>
      <c r="K68" s="164">
        <v>5436.34</v>
      </c>
      <c r="L68" s="164">
        <v>0</v>
      </c>
      <c r="M68" s="164">
        <v>906.05666666666673</v>
      </c>
      <c r="N68" s="164">
        <v>126.90946428571429</v>
      </c>
    </row>
    <row r="69" spans="5:14">
      <c r="E69" s="164" t="s">
        <v>95</v>
      </c>
      <c r="F69" s="164">
        <v>316.72000000000003</v>
      </c>
      <c r="G69" s="164">
        <v>8475.9</v>
      </c>
      <c r="H69" s="164">
        <v>316.72000000000003</v>
      </c>
      <c r="I69" s="164">
        <v>479.19</v>
      </c>
      <c r="J69" s="164">
        <v>12.5</v>
      </c>
      <c r="K69" s="164">
        <v>316.72000000000003</v>
      </c>
      <c r="L69" s="164">
        <v>316.5</v>
      </c>
      <c r="M69" s="164">
        <v>35.191111111111113</v>
      </c>
      <c r="N69" s="164">
        <v>43.244387755102039</v>
      </c>
    </row>
    <row r="70" spans="5:14">
      <c r="E70" s="164" t="s">
        <v>97</v>
      </c>
      <c r="F70" s="164">
        <v>109250.96999999997</v>
      </c>
      <c r="G70" s="164">
        <v>1694859.8599999982</v>
      </c>
      <c r="H70" s="164">
        <v>109250.96999999997</v>
      </c>
      <c r="I70" s="164">
        <v>70467.989999999932</v>
      </c>
      <c r="J70" s="164">
        <v>12444.810000000001</v>
      </c>
      <c r="K70" s="164">
        <v>109250.96999999997</v>
      </c>
      <c r="L70" s="164">
        <v>82287.489999999991</v>
      </c>
      <c r="M70" s="164">
        <v>60.762497219132356</v>
      </c>
      <c r="N70" s="164">
        <v>73.117336496980073</v>
      </c>
    </row>
    <row r="71" spans="5:14">
      <c r="E71" s="164" t="s">
        <v>105</v>
      </c>
      <c r="F71" s="164">
        <v>45039.49</v>
      </c>
      <c r="G71" s="164">
        <v>940515.86000000022</v>
      </c>
      <c r="H71" s="164">
        <v>45039.49</v>
      </c>
      <c r="I71" s="164">
        <v>102104.68000000001</v>
      </c>
      <c r="J71" s="164">
        <v>1670.65</v>
      </c>
      <c r="K71" s="164">
        <v>45039.49</v>
      </c>
      <c r="L71" s="164">
        <v>15714.300000000025</v>
      </c>
      <c r="M71" s="164">
        <v>56.229076154806492</v>
      </c>
      <c r="N71" s="164">
        <v>64.321971002598843</v>
      </c>
    </row>
    <row r="72" spans="5:14">
      <c r="E72" s="164" t="s">
        <v>117</v>
      </c>
      <c r="F72" s="164">
        <v>99652.600000000108</v>
      </c>
      <c r="G72" s="164">
        <v>1583180.7200000016</v>
      </c>
      <c r="H72" s="164">
        <v>99652.600000000108</v>
      </c>
      <c r="I72" s="164">
        <v>807.69999999999936</v>
      </c>
      <c r="J72" s="164">
        <v>19307.18</v>
      </c>
      <c r="K72" s="164">
        <v>99652.600000000108</v>
      </c>
      <c r="L72" s="164">
        <v>80981.119999999864</v>
      </c>
      <c r="M72" s="164">
        <v>105.00800842992635</v>
      </c>
      <c r="N72" s="164">
        <v>131.49341528239216</v>
      </c>
    </row>
    <row r="73" spans="5:14">
      <c r="E73" s="164" t="s">
        <v>128</v>
      </c>
      <c r="F73" s="164">
        <v>13582.13</v>
      </c>
      <c r="G73" s="164">
        <v>241600.43999999997</v>
      </c>
      <c r="H73" s="164">
        <v>13582.13</v>
      </c>
      <c r="I73" s="164">
        <v>0</v>
      </c>
      <c r="J73" s="164">
        <v>0</v>
      </c>
      <c r="K73" s="164">
        <v>13582.13</v>
      </c>
      <c r="L73" s="164">
        <v>2991.0000000000018</v>
      </c>
      <c r="M73" s="164">
        <v>42.57721003134796</v>
      </c>
      <c r="N73" s="164">
        <v>41.004826883910383</v>
      </c>
    </row>
    <row r="74" spans="5:14">
      <c r="E74" s="164" t="s">
        <v>131</v>
      </c>
      <c r="F74" s="164">
        <v>201533.56000000378</v>
      </c>
      <c r="G74" s="164">
        <v>2786036.2600000035</v>
      </c>
      <c r="H74" s="164">
        <v>201533.56000000378</v>
      </c>
      <c r="I74" s="164">
        <v>330616.05000002298</v>
      </c>
      <c r="J74" s="164">
        <v>11053.979999999998</v>
      </c>
      <c r="K74" s="164">
        <v>201533.56000000378</v>
      </c>
      <c r="L74" s="164">
        <v>51971.959999969695</v>
      </c>
      <c r="M74" s="164">
        <v>3.5297316799776479</v>
      </c>
      <c r="N74" s="164">
        <v>4.2845221881843516</v>
      </c>
    </row>
    <row r="75" spans="5:14">
      <c r="E75" s="164"/>
      <c r="F75" s="164"/>
      <c r="G75" s="164"/>
      <c r="H75" s="164"/>
      <c r="I75" s="164"/>
      <c r="J75" s="164"/>
      <c r="K75" s="164"/>
      <c r="L75" s="164"/>
      <c r="M75" s="164"/>
      <c r="N75" s="164"/>
    </row>
    <row r="76" spans="5:14">
      <c r="E76" s="164"/>
      <c r="F76" s="164"/>
      <c r="G76" s="164"/>
      <c r="H76" s="164"/>
      <c r="I76" s="164"/>
      <c r="J76" s="164"/>
      <c r="K76" s="164"/>
      <c r="L76" s="164"/>
      <c r="M76" s="164"/>
      <c r="N76" s="164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8" t="str">
        <f>'Page de garde'!C13&amp;" : Détail des Prestations Réglées - Synthèse par famille d'actes"</f>
        <v xml:space="preserve"> : Détail des Prestations Réglées - Synthèse par famille d'actes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40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4" t="s">
        <v>72</v>
      </c>
      <c r="F12" s="255"/>
      <c r="G12" s="255"/>
      <c r="H12" s="255"/>
      <c r="I12" s="255"/>
      <c r="J12" s="255"/>
      <c r="K12" s="255"/>
      <c r="L12" s="255"/>
      <c r="M12" s="256"/>
      <c r="N12" s="32"/>
      <c r="O12" s="254" t="s">
        <v>73</v>
      </c>
      <c r="P12" s="255"/>
      <c r="Q12" s="256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74</v>
      </c>
      <c r="F14" s="121" t="s">
        <v>75</v>
      </c>
      <c r="G14" s="122" t="s">
        <v>76</v>
      </c>
      <c r="H14" s="121" t="s">
        <v>77</v>
      </c>
      <c r="I14" s="121" t="s">
        <v>78</v>
      </c>
      <c r="J14" s="121" t="s">
        <v>79</v>
      </c>
      <c r="K14" s="123" t="s">
        <v>80</v>
      </c>
      <c r="L14" s="123" t="s">
        <v>81</v>
      </c>
      <c r="M14" s="123" t="s">
        <v>82</v>
      </c>
      <c r="N14" s="32"/>
      <c r="O14" s="142" t="s">
        <v>80</v>
      </c>
      <c r="P14" s="142" t="s">
        <v>81</v>
      </c>
      <c r="Q14" s="123" t="s">
        <v>82</v>
      </c>
      <c r="R14" s="51"/>
    </row>
    <row r="15" spans="1:22" ht="15" customHeight="1">
      <c r="B15" s="2"/>
      <c r="C15" s="132" t="s">
        <v>83</v>
      </c>
      <c r="D15" s="133"/>
      <c r="E15" s="55">
        <v>1023</v>
      </c>
      <c r="F15" s="66"/>
      <c r="G15" s="56">
        <v>43615.41</v>
      </c>
      <c r="H15" s="56">
        <v>17798</v>
      </c>
      <c r="I15" s="56">
        <v>1060.69</v>
      </c>
      <c r="J15" s="56">
        <v>13270.3</v>
      </c>
      <c r="K15" s="56">
        <v>12.971945259042032</v>
      </c>
      <c r="L15" s="57">
        <v>1</v>
      </c>
      <c r="M15" s="57">
        <v>0.73664308096610809</v>
      </c>
      <c r="N15" s="134"/>
      <c r="O15" s="56">
        <v>22.551906537955251</v>
      </c>
      <c r="P15" s="57">
        <v>1</v>
      </c>
      <c r="Q15" s="57">
        <v>0.8184083512135526</v>
      </c>
      <c r="R15" s="51"/>
    </row>
    <row r="16" spans="1:22" ht="15" customHeight="1">
      <c r="B16" s="2"/>
      <c r="C16" s="183"/>
      <c r="D16" s="184" t="s">
        <v>84</v>
      </c>
      <c r="E16" s="185">
        <v>1021</v>
      </c>
      <c r="F16" s="186"/>
      <c r="G16" s="187">
        <v>40915.410000000003</v>
      </c>
      <c r="H16" s="187">
        <v>17318</v>
      </c>
      <c r="I16" s="187">
        <v>1060.69</v>
      </c>
      <c r="J16" s="187">
        <v>12870.3</v>
      </c>
      <c r="K16" s="187">
        <v>12.60558276199804</v>
      </c>
      <c r="L16" s="188">
        <v>0.96985750133757342</v>
      </c>
      <c r="M16" s="188">
        <v>0.76374622666618763</v>
      </c>
      <c r="N16" s="189"/>
      <c r="O16" s="187">
        <v>14.469898921832893</v>
      </c>
      <c r="P16" s="188">
        <v>0.62670486953261473</v>
      </c>
      <c r="Q16" s="188">
        <v>0.86238451763351875</v>
      </c>
      <c r="R16" s="51"/>
    </row>
    <row r="17" spans="2:18" ht="15" customHeight="1">
      <c r="B17" s="2"/>
      <c r="C17" s="183"/>
      <c r="D17" s="184" t="s">
        <v>85</v>
      </c>
      <c r="E17" s="185">
        <v>0</v>
      </c>
      <c r="F17" s="186"/>
      <c r="G17" s="187">
        <v>0</v>
      </c>
      <c r="H17" s="187">
        <v>0</v>
      </c>
      <c r="I17" s="187">
        <v>0</v>
      </c>
      <c r="J17" s="187">
        <v>0</v>
      </c>
      <c r="K17" s="187"/>
      <c r="L17" s="188">
        <v>0</v>
      </c>
      <c r="M17" s="188">
        <v>0</v>
      </c>
      <c r="N17" s="189"/>
      <c r="O17" s="187">
        <v>2.3499999999999974</v>
      </c>
      <c r="P17" s="188">
        <v>1.2802603792781083E-3</v>
      </c>
      <c r="Q17" s="188">
        <v>0.53154205607476601</v>
      </c>
      <c r="R17" s="51"/>
    </row>
    <row r="18" spans="2:18" ht="15" customHeight="1">
      <c r="B18" s="2"/>
      <c r="C18" s="183"/>
      <c r="D18" s="184" t="s">
        <v>86</v>
      </c>
      <c r="E18" s="185">
        <v>0</v>
      </c>
      <c r="F18" s="186"/>
      <c r="G18" s="187">
        <v>0</v>
      </c>
      <c r="H18" s="187">
        <v>0</v>
      </c>
      <c r="I18" s="187">
        <v>0</v>
      </c>
      <c r="J18" s="187">
        <v>0</v>
      </c>
      <c r="K18" s="187"/>
      <c r="L18" s="188">
        <v>0</v>
      </c>
      <c r="M18" s="188">
        <v>0</v>
      </c>
      <c r="N18" s="189"/>
      <c r="O18" s="187">
        <v>710</v>
      </c>
      <c r="P18" s="188">
        <v>6.9071798578074321E-3</v>
      </c>
      <c r="Q18" s="188">
        <v>1</v>
      </c>
      <c r="R18" s="51"/>
    </row>
    <row r="19" spans="2:18" ht="15" customHeight="1">
      <c r="B19" s="2"/>
      <c r="C19" s="183"/>
      <c r="D19" s="184" t="s">
        <v>87</v>
      </c>
      <c r="E19" s="185">
        <v>1</v>
      </c>
      <c r="F19" s="186"/>
      <c r="G19" s="187">
        <v>1350</v>
      </c>
      <c r="H19" s="187">
        <v>240</v>
      </c>
      <c r="I19" s="187">
        <v>0</v>
      </c>
      <c r="J19" s="187">
        <v>200</v>
      </c>
      <c r="K19" s="187">
        <v>200</v>
      </c>
      <c r="L19" s="188">
        <v>1.5071249331213312E-2</v>
      </c>
      <c r="M19" s="188">
        <v>0.32592592592592595</v>
      </c>
      <c r="N19" s="189"/>
      <c r="O19" s="187">
        <v>818.18181818181813</v>
      </c>
      <c r="P19" s="188">
        <v>8.7555801014460408E-2</v>
      </c>
      <c r="Q19" s="188">
        <v>0.75243845796562936</v>
      </c>
      <c r="R19" s="51"/>
    </row>
    <row r="20" spans="2:18" ht="15" customHeight="1">
      <c r="B20" s="2"/>
      <c r="C20" s="183"/>
      <c r="D20" s="184" t="s">
        <v>88</v>
      </c>
      <c r="E20" s="185">
        <v>1</v>
      </c>
      <c r="F20" s="186"/>
      <c r="G20" s="187">
        <v>1350</v>
      </c>
      <c r="H20" s="187">
        <v>240</v>
      </c>
      <c r="I20" s="187">
        <v>0</v>
      </c>
      <c r="J20" s="187">
        <v>200</v>
      </c>
      <c r="K20" s="187">
        <v>200</v>
      </c>
      <c r="L20" s="188">
        <v>1.5071249331213312E-2</v>
      </c>
      <c r="M20" s="188">
        <v>0.32592592592592595</v>
      </c>
      <c r="N20" s="189"/>
      <c r="O20" s="187">
        <v>863.07692307692309</v>
      </c>
      <c r="P20" s="188">
        <v>0.10915289859802731</v>
      </c>
      <c r="Q20" s="188">
        <v>0.82148962148962146</v>
      </c>
      <c r="R20" s="51"/>
    </row>
    <row r="21" spans="2:18" ht="15" customHeight="1">
      <c r="B21" s="2"/>
      <c r="C21" s="183"/>
      <c r="D21" s="184" t="s">
        <v>89</v>
      </c>
      <c r="E21" s="185">
        <v>0</v>
      </c>
      <c r="F21" s="186"/>
      <c r="G21" s="187">
        <v>0</v>
      </c>
      <c r="H21" s="187">
        <v>0</v>
      </c>
      <c r="I21" s="187">
        <v>0</v>
      </c>
      <c r="J21" s="187">
        <v>0</v>
      </c>
      <c r="K21" s="187"/>
      <c r="L21" s="188">
        <v>0</v>
      </c>
      <c r="M21" s="188">
        <v>0</v>
      </c>
      <c r="N21" s="189"/>
      <c r="O21" s="187">
        <v>692.4</v>
      </c>
      <c r="P21" s="188">
        <v>0.16839899061781216</v>
      </c>
      <c r="Q21" s="188">
        <v>0.64264345934185474</v>
      </c>
      <c r="R21" s="51"/>
    </row>
    <row r="22" spans="2:18" ht="15" customHeight="1">
      <c r="B22" s="2"/>
      <c r="C22" s="135" t="s">
        <v>46</v>
      </c>
      <c r="D22" s="136"/>
      <c r="E22" s="124">
        <v>1023</v>
      </c>
      <c r="F22" s="125"/>
      <c r="G22" s="126">
        <v>43615.41</v>
      </c>
      <c r="H22" s="126">
        <v>17798</v>
      </c>
      <c r="I22" s="126">
        <v>1060.69</v>
      </c>
      <c r="J22" s="126">
        <v>13270.3</v>
      </c>
      <c r="K22" s="126">
        <v>12.971945259042032</v>
      </c>
      <c r="L22" s="127">
        <v>1</v>
      </c>
      <c r="M22" s="127">
        <v>0.73664308096610798</v>
      </c>
      <c r="N22" s="134"/>
      <c r="O22" s="126">
        <v>22.551906537955251</v>
      </c>
      <c r="P22" s="127">
        <v>1</v>
      </c>
      <c r="Q22" s="127">
        <v>0.8184083512135526</v>
      </c>
      <c r="R22" s="51"/>
    </row>
    <row r="23" spans="2:18" ht="15" customHeigh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36" t="s">
        <v>138</v>
      </c>
      <c r="D25" s="136"/>
      <c r="E25" s="1"/>
      <c r="F25" s="1"/>
      <c r="G25" s="1"/>
      <c r="H25" s="166">
        <v>0.55400000000000005</v>
      </c>
      <c r="I25" s="166">
        <v>3.3000000000000002E-2</v>
      </c>
      <c r="J25" s="166">
        <v>0.41299999999999992</v>
      </c>
      <c r="K25" s="1"/>
      <c r="L25" s="1"/>
      <c r="M25" s="1"/>
      <c r="N25" s="1"/>
      <c r="O25" s="1"/>
      <c r="P25" s="13"/>
      <c r="Q25" s="13"/>
      <c r="R25" s="51"/>
    </row>
    <row r="26" spans="2:18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18" ht="15" customHeight="1">
      <c r="B27" s="2"/>
      <c r="C27" s="136" t="s">
        <v>139</v>
      </c>
      <c r="D27" s="136"/>
      <c r="E27" s="1"/>
      <c r="F27" s="1"/>
      <c r="G27" s="126"/>
      <c r="H27" s="126"/>
      <c r="I27" s="126"/>
      <c r="J27" s="126"/>
      <c r="K27" s="1"/>
      <c r="L27" s="1"/>
      <c r="M27" s="1"/>
      <c r="N27" s="1"/>
      <c r="O27" s="1"/>
      <c r="P27" s="13"/>
      <c r="Q27" s="13"/>
      <c r="R27" s="51"/>
    </row>
    <row r="28" spans="2:18" ht="15" customHeight="1">
      <c r="B28" s="2"/>
      <c r="C28" s="136" t="s">
        <v>140</v>
      </c>
      <c r="D28" s="136"/>
      <c r="E28" s="1"/>
      <c r="F28" s="1"/>
      <c r="G28" s="126"/>
      <c r="H28" s="126"/>
      <c r="I28" s="126"/>
      <c r="J28" s="126"/>
      <c r="K28" s="1"/>
      <c r="L28" s="1"/>
      <c r="M28" s="1"/>
      <c r="N28" s="1"/>
      <c r="O28" s="1"/>
      <c r="P28" s="13"/>
      <c r="Q28" s="13"/>
      <c r="R28" s="51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3"/>
      <c r="Q29" s="13"/>
      <c r="R29" s="51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2" customHeight="1">
      <c r="B31" s="3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8"/>
      <c r="Q31" s="138"/>
      <c r="R31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8" t="str">
        <f>'Page de garde'!C13&amp;" : Détail des Prestations Réglées - Synthèse par famille d'actes"</f>
        <v xml:space="preserve"> : Détail des Prestations Réglées - Synthèse par famille d'actes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40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4" t="s">
        <v>72</v>
      </c>
      <c r="F12" s="255"/>
      <c r="G12" s="255"/>
      <c r="H12" s="255"/>
      <c r="I12" s="255"/>
      <c r="J12" s="255"/>
      <c r="K12" s="255"/>
      <c r="L12" s="255"/>
      <c r="M12" s="256"/>
      <c r="N12" s="32"/>
      <c r="O12" s="254" t="s">
        <v>73</v>
      </c>
      <c r="P12" s="255"/>
      <c r="Q12" s="256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74</v>
      </c>
      <c r="F14" s="121" t="s">
        <v>75</v>
      </c>
      <c r="G14" s="122" t="s">
        <v>76</v>
      </c>
      <c r="H14" s="121" t="s">
        <v>77</v>
      </c>
      <c r="I14" s="121" t="s">
        <v>78</v>
      </c>
      <c r="J14" s="121" t="s">
        <v>79</v>
      </c>
      <c r="K14" s="123" t="s">
        <v>80</v>
      </c>
      <c r="L14" s="123" t="s">
        <v>81</v>
      </c>
      <c r="M14" s="123" t="s">
        <v>82</v>
      </c>
      <c r="N14" s="32"/>
      <c r="O14" s="142" t="s">
        <v>80</v>
      </c>
      <c r="P14" s="142" t="s">
        <v>81</v>
      </c>
      <c r="Q14" s="123" t="s">
        <v>82</v>
      </c>
      <c r="R14" s="51"/>
    </row>
    <row r="15" spans="1:22" ht="15" customHeight="1">
      <c r="B15" s="2"/>
      <c r="C15" s="132" t="s">
        <v>90</v>
      </c>
      <c r="D15" s="133"/>
      <c r="E15" s="55">
        <v>6</v>
      </c>
      <c r="F15" s="66"/>
      <c r="G15" s="56">
        <v>5436.34</v>
      </c>
      <c r="H15" s="56">
        <v>0</v>
      </c>
      <c r="I15" s="56">
        <v>0</v>
      </c>
      <c r="J15" s="56">
        <v>5436.34</v>
      </c>
      <c r="K15" s="56">
        <v>906.05666666666673</v>
      </c>
      <c r="L15" s="57">
        <v>1</v>
      </c>
      <c r="M15" s="57">
        <v>1</v>
      </c>
      <c r="N15" s="134"/>
      <c r="O15" s="56">
        <v>126.90946428571429</v>
      </c>
      <c r="P15" s="57">
        <v>1</v>
      </c>
      <c r="Q15" s="57">
        <v>0.9894604440758682</v>
      </c>
      <c r="R15" s="51"/>
    </row>
    <row r="16" spans="1:22" ht="15" customHeight="1">
      <c r="B16" s="2"/>
      <c r="C16" s="183"/>
      <c r="D16" s="184" t="s">
        <v>91</v>
      </c>
      <c r="E16" s="185">
        <v>0</v>
      </c>
      <c r="F16" s="186"/>
      <c r="G16" s="187">
        <v>0</v>
      </c>
      <c r="H16" s="187">
        <v>0</v>
      </c>
      <c r="I16" s="187">
        <v>0</v>
      </c>
      <c r="J16" s="187">
        <v>0</v>
      </c>
      <c r="K16" s="187"/>
      <c r="L16" s="188">
        <v>0</v>
      </c>
      <c r="M16" s="188">
        <v>0</v>
      </c>
      <c r="N16" s="189"/>
      <c r="O16" s="187">
        <v>7</v>
      </c>
      <c r="P16" s="188">
        <v>9.8495412224406309E-4</v>
      </c>
      <c r="Q16" s="188">
        <v>1</v>
      </c>
      <c r="R16" s="51"/>
    </row>
    <row r="17" spans="2:18" ht="15" customHeight="1">
      <c r="B17" s="2"/>
      <c r="C17" s="183"/>
      <c r="D17" s="184" t="s">
        <v>92</v>
      </c>
      <c r="E17" s="185">
        <v>4</v>
      </c>
      <c r="F17" s="186"/>
      <c r="G17" s="187">
        <v>240</v>
      </c>
      <c r="H17" s="187">
        <v>0</v>
      </c>
      <c r="I17" s="187">
        <v>0</v>
      </c>
      <c r="J17" s="187">
        <v>240</v>
      </c>
      <c r="K17" s="187">
        <v>60</v>
      </c>
      <c r="L17" s="188">
        <v>4.4147349135631689E-2</v>
      </c>
      <c r="M17" s="188">
        <v>1</v>
      </c>
      <c r="N17" s="189"/>
      <c r="O17" s="187">
        <v>54.815533980582522</v>
      </c>
      <c r="P17" s="188">
        <v>0.39721792672785577</v>
      </c>
      <c r="Q17" s="188">
        <v>0.97378406347016211</v>
      </c>
      <c r="R17" s="51"/>
    </row>
    <row r="18" spans="2:18" ht="15" customHeight="1">
      <c r="B18" s="2"/>
      <c r="C18" s="183"/>
      <c r="D18" s="184" t="s">
        <v>93</v>
      </c>
      <c r="E18" s="185">
        <v>0</v>
      </c>
      <c r="F18" s="186"/>
      <c r="G18" s="187">
        <v>0</v>
      </c>
      <c r="H18" s="187">
        <v>0</v>
      </c>
      <c r="I18" s="187">
        <v>0</v>
      </c>
      <c r="J18" s="187">
        <v>0</v>
      </c>
      <c r="K18" s="187"/>
      <c r="L18" s="188">
        <v>0</v>
      </c>
      <c r="M18" s="188">
        <v>0</v>
      </c>
      <c r="N18" s="189"/>
      <c r="O18" s="187">
        <v>-7.29</v>
      </c>
      <c r="P18" s="188">
        <v>-5.1287968222565861E-4</v>
      </c>
      <c r="Q18" s="188">
        <v>1</v>
      </c>
      <c r="R18" s="51"/>
    </row>
    <row r="19" spans="2:18" ht="15" customHeight="1">
      <c r="B19" s="2"/>
      <c r="C19" s="183"/>
      <c r="D19" s="184" t="s">
        <v>94</v>
      </c>
      <c r="E19" s="185">
        <v>2</v>
      </c>
      <c r="F19" s="186"/>
      <c r="G19" s="187">
        <v>5196.34</v>
      </c>
      <c r="H19" s="187">
        <v>0</v>
      </c>
      <c r="I19" s="187">
        <v>0</v>
      </c>
      <c r="J19" s="187">
        <v>5196.34</v>
      </c>
      <c r="K19" s="187">
        <v>2598.17</v>
      </c>
      <c r="L19" s="188">
        <v>0.95585265086436833</v>
      </c>
      <c r="M19" s="188">
        <v>1</v>
      </c>
      <c r="N19" s="189"/>
      <c r="O19" s="187">
        <v>1426.8583333333336</v>
      </c>
      <c r="P19" s="188">
        <v>0.60230999883212588</v>
      </c>
      <c r="Q19" s="188">
        <v>1</v>
      </c>
      <c r="R19" s="51"/>
    </row>
    <row r="20" spans="2:18" ht="15" customHeight="1">
      <c r="B20" s="2"/>
      <c r="C20" s="135" t="s">
        <v>46</v>
      </c>
      <c r="D20" s="136"/>
      <c r="E20" s="124">
        <v>6</v>
      </c>
      <c r="F20" s="125"/>
      <c r="G20" s="126">
        <v>5436.34</v>
      </c>
      <c r="H20" s="126">
        <v>0</v>
      </c>
      <c r="I20" s="126">
        <v>0</v>
      </c>
      <c r="J20" s="126">
        <v>5436.34</v>
      </c>
      <c r="K20" s="126">
        <v>906.05666666666673</v>
      </c>
      <c r="L20" s="127">
        <v>1</v>
      </c>
      <c r="M20" s="127">
        <v>1</v>
      </c>
      <c r="N20" s="134"/>
      <c r="O20" s="126">
        <v>126.90946428571429</v>
      </c>
      <c r="P20" s="127">
        <v>1</v>
      </c>
      <c r="Q20" s="127">
        <v>0.9894604440758682</v>
      </c>
      <c r="R20" s="51"/>
    </row>
    <row r="21" spans="2:18" ht="15" customHeigh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3"/>
      <c r="Q22" s="13"/>
      <c r="R22" s="51"/>
    </row>
    <row r="23" spans="2:18" ht="15" customHeight="1">
      <c r="B23" s="2"/>
      <c r="C23" s="136" t="s">
        <v>138</v>
      </c>
      <c r="D23" s="136"/>
      <c r="E23" s="1"/>
      <c r="F23" s="1"/>
      <c r="G23" s="1"/>
      <c r="H23" s="166">
        <v>0</v>
      </c>
      <c r="I23" s="166">
        <v>0</v>
      </c>
      <c r="J23" s="166">
        <v>1</v>
      </c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36" t="s">
        <v>139</v>
      </c>
      <c r="D25" s="136"/>
      <c r="E25" s="1"/>
      <c r="F25" s="1"/>
      <c r="G25" s="126"/>
      <c r="H25" s="126"/>
      <c r="I25" s="126"/>
      <c r="J25" s="126"/>
      <c r="K25" s="1"/>
      <c r="L25" s="1"/>
      <c r="M25" s="1"/>
      <c r="N25" s="1"/>
      <c r="O25" s="1"/>
      <c r="P25" s="13"/>
      <c r="Q25" s="13"/>
      <c r="R25" s="51"/>
    </row>
    <row r="26" spans="2:18" ht="15" customHeight="1">
      <c r="B26" s="2"/>
      <c r="C26" s="136" t="s">
        <v>140</v>
      </c>
      <c r="D26" s="136"/>
      <c r="E26" s="1"/>
      <c r="F26" s="1"/>
      <c r="G26" s="126"/>
      <c r="H26" s="126"/>
      <c r="I26" s="126"/>
      <c r="J26" s="126"/>
      <c r="K26" s="1"/>
      <c r="L26" s="1"/>
      <c r="M26" s="1"/>
      <c r="N26" s="1"/>
      <c r="O26" s="1"/>
      <c r="P26" s="13"/>
      <c r="Q26" s="13"/>
      <c r="R26" s="51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3"/>
      <c r="Q28" s="13"/>
      <c r="R28" s="51"/>
    </row>
    <row r="29" spans="2:18" ht="12" customHeight="1">
      <c r="B29" s="3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8"/>
      <c r="Q29" s="138"/>
      <c r="R29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8" t="str">
        <f>'Page de garde'!C13&amp;" : Détail des Prestations Réglées - Synthèse par famille d'actes"</f>
        <v xml:space="preserve"> : Détail des Prestations Réglées - Synthèse par famille d'actes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40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4" t="s">
        <v>72</v>
      </c>
      <c r="F12" s="255"/>
      <c r="G12" s="255"/>
      <c r="H12" s="255"/>
      <c r="I12" s="255"/>
      <c r="J12" s="255"/>
      <c r="K12" s="255"/>
      <c r="L12" s="255"/>
      <c r="M12" s="256"/>
      <c r="N12" s="32"/>
      <c r="O12" s="254" t="s">
        <v>73</v>
      </c>
      <c r="P12" s="255"/>
      <c r="Q12" s="256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74</v>
      </c>
      <c r="F14" s="121" t="s">
        <v>75</v>
      </c>
      <c r="G14" s="122" t="s">
        <v>76</v>
      </c>
      <c r="H14" s="121" t="s">
        <v>77</v>
      </c>
      <c r="I14" s="121" t="s">
        <v>78</v>
      </c>
      <c r="J14" s="121" t="s">
        <v>79</v>
      </c>
      <c r="K14" s="123" t="s">
        <v>80</v>
      </c>
      <c r="L14" s="123" t="s">
        <v>81</v>
      </c>
      <c r="M14" s="123" t="s">
        <v>82</v>
      </c>
      <c r="N14" s="32"/>
      <c r="O14" s="142" t="s">
        <v>80</v>
      </c>
      <c r="P14" s="142" t="s">
        <v>81</v>
      </c>
      <c r="Q14" s="123" t="s">
        <v>82</v>
      </c>
      <c r="R14" s="51"/>
    </row>
    <row r="15" spans="1:22" ht="15" customHeight="1">
      <c r="B15" s="2"/>
      <c r="C15" s="132" t="s">
        <v>95</v>
      </c>
      <c r="D15" s="133"/>
      <c r="E15" s="55">
        <v>9</v>
      </c>
      <c r="F15" s="66"/>
      <c r="G15" s="56">
        <v>1124.9100000000001</v>
      </c>
      <c r="H15" s="56">
        <v>479.19</v>
      </c>
      <c r="I15" s="56">
        <v>12.5</v>
      </c>
      <c r="J15" s="56">
        <v>316.72000000000003</v>
      </c>
      <c r="K15" s="56">
        <v>35.191111111111113</v>
      </c>
      <c r="L15" s="57">
        <v>1</v>
      </c>
      <c r="M15" s="57">
        <v>0.71864415819932248</v>
      </c>
      <c r="N15" s="134"/>
      <c r="O15" s="56">
        <v>43.244387755102039</v>
      </c>
      <c r="P15" s="57">
        <v>1</v>
      </c>
      <c r="Q15" s="57">
        <v>0.73116169777035944</v>
      </c>
      <c r="R15" s="51"/>
    </row>
    <row r="16" spans="1:22" ht="15" customHeight="1">
      <c r="B16" s="2"/>
      <c r="C16" s="183"/>
      <c r="D16" s="184" t="s">
        <v>96</v>
      </c>
      <c r="E16" s="185">
        <v>9</v>
      </c>
      <c r="F16" s="186"/>
      <c r="G16" s="187">
        <v>1124.9100000000001</v>
      </c>
      <c r="H16" s="187">
        <v>479.19</v>
      </c>
      <c r="I16" s="187">
        <v>12.5</v>
      </c>
      <c r="J16" s="187">
        <v>316.72000000000003</v>
      </c>
      <c r="K16" s="187">
        <v>35.191111111111113</v>
      </c>
      <c r="L16" s="188">
        <v>1</v>
      </c>
      <c r="M16" s="188">
        <v>0.71864415819932248</v>
      </c>
      <c r="N16" s="189"/>
      <c r="O16" s="187">
        <v>43.244387755102039</v>
      </c>
      <c r="P16" s="188">
        <v>1</v>
      </c>
      <c r="Q16" s="188">
        <v>0.73116169777035944</v>
      </c>
      <c r="R16" s="51"/>
    </row>
    <row r="17" spans="2:18" ht="15" customHeight="1">
      <c r="B17" s="2"/>
      <c r="C17" s="135" t="s">
        <v>46</v>
      </c>
      <c r="D17" s="136"/>
      <c r="E17" s="124">
        <v>9</v>
      </c>
      <c r="F17" s="125"/>
      <c r="G17" s="126">
        <v>1124.9100000000001</v>
      </c>
      <c r="H17" s="126">
        <v>479.19</v>
      </c>
      <c r="I17" s="126">
        <v>12.5</v>
      </c>
      <c r="J17" s="126">
        <v>316.72000000000003</v>
      </c>
      <c r="K17" s="126">
        <v>35.191111111111113</v>
      </c>
      <c r="L17" s="127">
        <v>1</v>
      </c>
      <c r="M17" s="127">
        <v>0.71864415819932259</v>
      </c>
      <c r="N17" s="134"/>
      <c r="O17" s="126">
        <v>43.244387755102039</v>
      </c>
      <c r="P17" s="127">
        <v>1</v>
      </c>
      <c r="Q17" s="127">
        <v>0.73116169777035944</v>
      </c>
      <c r="R17" s="51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3"/>
      <c r="Q18" s="13"/>
      <c r="R18" s="51"/>
    </row>
    <row r="19" spans="2:18" ht="15" customHeigh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3"/>
      <c r="Q19" s="13"/>
      <c r="R19" s="51"/>
    </row>
    <row r="20" spans="2:18" ht="15" customHeight="1">
      <c r="B20" s="2"/>
      <c r="C20" s="136" t="s">
        <v>138</v>
      </c>
      <c r="D20" s="136"/>
      <c r="E20" s="1"/>
      <c r="F20" s="1"/>
      <c r="G20" s="1"/>
      <c r="H20" s="166">
        <v>0.59279999999999999</v>
      </c>
      <c r="I20" s="166">
        <v>1.55E-2</v>
      </c>
      <c r="J20" s="166">
        <v>0.39169999999999999</v>
      </c>
      <c r="K20" s="1"/>
      <c r="L20" s="1"/>
      <c r="M20" s="1"/>
      <c r="N20" s="1"/>
      <c r="O20" s="1"/>
      <c r="P20" s="13"/>
      <c r="Q20" s="13"/>
      <c r="R20" s="51"/>
    </row>
    <row r="21" spans="2:18" ht="15" customHeigh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>
      <c r="B22" s="2"/>
      <c r="C22" s="136" t="s">
        <v>139</v>
      </c>
      <c r="D22" s="136"/>
      <c r="E22" s="1"/>
      <c r="F22" s="1"/>
      <c r="G22" s="126"/>
      <c r="H22" s="126"/>
      <c r="I22" s="126"/>
      <c r="J22" s="126"/>
      <c r="K22" s="1"/>
      <c r="L22" s="1"/>
      <c r="M22" s="1"/>
      <c r="N22" s="1"/>
      <c r="O22" s="1"/>
      <c r="P22" s="13"/>
      <c r="Q22" s="13"/>
      <c r="R22" s="51"/>
    </row>
    <row r="23" spans="2:18" ht="15" customHeight="1">
      <c r="B23" s="2"/>
      <c r="C23" s="136" t="s">
        <v>140</v>
      </c>
      <c r="D23" s="136"/>
      <c r="E23" s="1"/>
      <c r="F23" s="1"/>
      <c r="G23" s="126"/>
      <c r="H23" s="126"/>
      <c r="I23" s="126"/>
      <c r="J23" s="126"/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2" customHeight="1">
      <c r="B26" s="3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8"/>
      <c r="Q26" s="138"/>
      <c r="R26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32"/>
  <sheetViews>
    <sheetView showGridLines="0" zoomScale="70" zoomScaleNormal="70" workbookViewId="0">
      <selection activeCell="C22" sqref="C22:Q22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8" t="str">
        <f>'Page de garde'!C13&amp;" : Détail des Prestations Réglées - Synthèse par famille d'actes"</f>
        <v xml:space="preserve"> : Détail des Prestations Réglées - Synthèse par famille d'actes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40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4" t="s">
        <v>72</v>
      </c>
      <c r="F12" s="255"/>
      <c r="G12" s="255"/>
      <c r="H12" s="255"/>
      <c r="I12" s="255"/>
      <c r="J12" s="255"/>
      <c r="K12" s="255"/>
      <c r="L12" s="255"/>
      <c r="M12" s="256"/>
      <c r="N12" s="32"/>
      <c r="O12" s="254" t="s">
        <v>73</v>
      </c>
      <c r="P12" s="255"/>
      <c r="Q12" s="256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74</v>
      </c>
      <c r="F14" s="121" t="s">
        <v>75</v>
      </c>
      <c r="G14" s="122" t="s">
        <v>76</v>
      </c>
      <c r="H14" s="121" t="s">
        <v>77</v>
      </c>
      <c r="I14" s="121" t="s">
        <v>78</v>
      </c>
      <c r="J14" s="121" t="s">
        <v>79</v>
      </c>
      <c r="K14" s="123" t="s">
        <v>80</v>
      </c>
      <c r="L14" s="123" t="s">
        <v>81</v>
      </c>
      <c r="M14" s="123" t="s">
        <v>82</v>
      </c>
      <c r="N14" s="32"/>
      <c r="O14" s="142" t="s">
        <v>80</v>
      </c>
      <c r="P14" s="142" t="s">
        <v>81</v>
      </c>
      <c r="Q14" s="123" t="s">
        <v>82</v>
      </c>
      <c r="R14" s="51"/>
    </row>
    <row r="15" spans="1:22" ht="15" customHeight="1">
      <c r="B15" s="2"/>
      <c r="C15" s="132" t="s">
        <v>97</v>
      </c>
      <c r="D15" s="133"/>
      <c r="E15" s="55">
        <v>1798</v>
      </c>
      <c r="F15" s="66"/>
      <c r="G15" s="56">
        <v>274451.25999999989</v>
      </c>
      <c r="H15" s="56">
        <v>70467.989999999932</v>
      </c>
      <c r="I15" s="56">
        <v>12444.810000000001</v>
      </c>
      <c r="J15" s="56">
        <v>109250.96999999997</v>
      </c>
      <c r="K15" s="56">
        <v>60.762497219132371</v>
      </c>
      <c r="L15" s="57">
        <v>1.0000000000000002</v>
      </c>
      <c r="M15" s="57">
        <v>0.70017448635506352</v>
      </c>
      <c r="N15" s="134"/>
      <c r="O15" s="56">
        <v>73.117336496980073</v>
      </c>
      <c r="P15" s="57">
        <v>1</v>
      </c>
      <c r="Q15" s="57">
        <v>0.78084608407273215</v>
      </c>
      <c r="R15" s="51"/>
    </row>
    <row r="16" spans="1:22" ht="15" customHeight="1">
      <c r="B16" s="2"/>
      <c r="C16" s="183"/>
      <c r="D16" s="184" t="s">
        <v>98</v>
      </c>
      <c r="E16" s="185">
        <v>579</v>
      </c>
      <c r="F16" s="186"/>
      <c r="G16" s="187">
        <v>12754.3</v>
      </c>
      <c r="H16" s="187">
        <v>8771.7599999999402</v>
      </c>
      <c r="I16" s="187">
        <v>73.44</v>
      </c>
      <c r="J16" s="187">
        <v>3774.8399999999901</v>
      </c>
      <c r="K16" s="187">
        <v>6.5195854922279795</v>
      </c>
      <c r="L16" s="188">
        <v>3.4552004435292438E-2</v>
      </c>
      <c r="M16" s="188">
        <v>0.98947335408450499</v>
      </c>
      <c r="N16" s="189"/>
      <c r="O16" s="187">
        <v>6.7525749423520676</v>
      </c>
      <c r="P16" s="188">
        <v>2.0733513625132521E-2</v>
      </c>
      <c r="Q16" s="188">
        <v>0.99145323601774238</v>
      </c>
      <c r="R16" s="51"/>
    </row>
    <row r="17" spans="2:18" ht="15" customHeight="1">
      <c r="B17" s="2"/>
      <c r="C17" s="183"/>
      <c r="D17" s="184" t="s">
        <v>99</v>
      </c>
      <c r="E17" s="185">
        <v>104</v>
      </c>
      <c r="F17" s="186"/>
      <c r="G17" s="187">
        <v>52463.25</v>
      </c>
      <c r="H17" s="187">
        <v>13686.95</v>
      </c>
      <c r="I17" s="187">
        <v>7130.6</v>
      </c>
      <c r="J17" s="187">
        <v>14700.3</v>
      </c>
      <c r="K17" s="187">
        <v>141.34903846153844</v>
      </c>
      <c r="L17" s="188">
        <v>0.13455532706025405</v>
      </c>
      <c r="M17" s="188">
        <v>0.67700437925595536</v>
      </c>
      <c r="N17" s="189"/>
      <c r="O17" s="187">
        <v>206.49341463414632</v>
      </c>
      <c r="P17" s="188">
        <v>0.1298762128923156</v>
      </c>
      <c r="Q17" s="188">
        <v>0.8122784449521202</v>
      </c>
      <c r="R17" s="51"/>
    </row>
    <row r="18" spans="2:18" ht="15" customHeight="1">
      <c r="B18" s="2"/>
      <c r="C18" s="183"/>
      <c r="D18" s="184" t="s">
        <v>100</v>
      </c>
      <c r="E18" s="185">
        <v>28</v>
      </c>
      <c r="F18" s="186"/>
      <c r="G18" s="187">
        <v>2790.78</v>
      </c>
      <c r="H18" s="187">
        <v>284.68</v>
      </c>
      <c r="I18" s="187">
        <v>12.54</v>
      </c>
      <c r="J18" s="187">
        <v>899.28</v>
      </c>
      <c r="K18" s="187">
        <v>32.117142857142859</v>
      </c>
      <c r="L18" s="188">
        <v>8.2313227974085742E-3</v>
      </c>
      <c r="M18" s="188">
        <v>0.42873318570435504</v>
      </c>
      <c r="N18" s="189"/>
      <c r="O18" s="187">
        <v>62.125390070921988</v>
      </c>
      <c r="P18" s="188">
        <v>2.0673520464399953E-2</v>
      </c>
      <c r="Q18" s="188">
        <v>0.58262624820147357</v>
      </c>
      <c r="R18" s="51"/>
    </row>
    <row r="19" spans="2:18" ht="15" customHeight="1">
      <c r="B19" s="2"/>
      <c r="C19" s="183"/>
      <c r="D19" s="184" t="s">
        <v>101</v>
      </c>
      <c r="E19" s="185">
        <v>481</v>
      </c>
      <c r="F19" s="186"/>
      <c r="G19" s="187">
        <v>91875.48</v>
      </c>
      <c r="H19" s="187">
        <v>20650.599999999999</v>
      </c>
      <c r="I19" s="187">
        <v>379.5</v>
      </c>
      <c r="J19" s="187">
        <v>61116.12</v>
      </c>
      <c r="K19" s="187">
        <v>127.06054054054054</v>
      </c>
      <c r="L19" s="188">
        <v>0.55941031919442008</v>
      </c>
      <c r="M19" s="188">
        <v>0.89410384577038404</v>
      </c>
      <c r="N19" s="189"/>
      <c r="O19" s="187">
        <v>85.589691005707365</v>
      </c>
      <c r="P19" s="188">
        <v>0.51317661154592398</v>
      </c>
      <c r="Q19" s="188">
        <v>0.83307906709382462</v>
      </c>
      <c r="R19" s="51"/>
    </row>
    <row r="20" spans="2:18" ht="15" customHeight="1">
      <c r="B20" s="2"/>
      <c r="C20" s="183"/>
      <c r="D20" s="184" t="s">
        <v>102</v>
      </c>
      <c r="E20" s="185">
        <v>96</v>
      </c>
      <c r="F20" s="186"/>
      <c r="G20" s="187">
        <v>52742.5</v>
      </c>
      <c r="H20" s="187">
        <v>5073.08</v>
      </c>
      <c r="I20" s="187">
        <v>3136.69</v>
      </c>
      <c r="J20" s="187">
        <v>12759.56</v>
      </c>
      <c r="K20" s="187">
        <v>132.91208333333333</v>
      </c>
      <c r="L20" s="188">
        <v>0.11679127425596315</v>
      </c>
      <c r="M20" s="188">
        <v>0.3975793714746173</v>
      </c>
      <c r="N20" s="189"/>
      <c r="O20" s="187">
        <v>229.56749559082891</v>
      </c>
      <c r="P20" s="188">
        <v>0.15359944862933991</v>
      </c>
      <c r="Q20" s="188">
        <v>0.61452559588812938</v>
      </c>
      <c r="R20" s="51"/>
    </row>
    <row r="21" spans="2:18" ht="15" customHeight="1">
      <c r="B21" s="2"/>
      <c r="C21" s="183"/>
      <c r="D21" s="184" t="s">
        <v>103</v>
      </c>
      <c r="E21" s="185">
        <v>65</v>
      </c>
      <c r="F21" s="186"/>
      <c r="G21" s="187">
        <v>36236</v>
      </c>
      <c r="H21" s="187">
        <v>5742.13</v>
      </c>
      <c r="I21" s="187">
        <v>1687.18</v>
      </c>
      <c r="J21" s="187">
        <v>8674.8700000000008</v>
      </c>
      <c r="K21" s="187">
        <v>133.45953846153847</v>
      </c>
      <c r="L21" s="188">
        <v>7.9403139395467184E-2</v>
      </c>
      <c r="M21" s="188">
        <v>0.44442488133348051</v>
      </c>
      <c r="N21" s="189"/>
      <c r="O21" s="187">
        <v>222.93927601809952</v>
      </c>
      <c r="P21" s="188">
        <v>0.11628000913302659</v>
      </c>
      <c r="Q21" s="188">
        <v>0.70249591708110914</v>
      </c>
      <c r="R21" s="51"/>
    </row>
    <row r="22" spans="2:18" ht="15" customHeight="1">
      <c r="B22" s="2"/>
      <c r="C22" s="183"/>
      <c r="D22" s="184" t="s">
        <v>104</v>
      </c>
      <c r="E22" s="185">
        <v>445</v>
      </c>
      <c r="F22" s="186"/>
      <c r="G22" s="187">
        <v>25588.949999999899</v>
      </c>
      <c r="H22" s="187">
        <v>16258.79</v>
      </c>
      <c r="I22" s="187">
        <v>24.86</v>
      </c>
      <c r="J22" s="187">
        <v>7325.99999999998</v>
      </c>
      <c r="K22" s="187">
        <v>16.462921348314605</v>
      </c>
      <c r="L22" s="188">
        <v>6.7056612861194756E-2</v>
      </c>
      <c r="M22" s="188">
        <v>0.92265020643676277</v>
      </c>
      <c r="N22" s="189"/>
      <c r="O22" s="187">
        <v>18.576202592414798</v>
      </c>
      <c r="P22" s="188">
        <v>4.566068370986149E-2</v>
      </c>
      <c r="Q22" s="188">
        <v>0.90250571067858387</v>
      </c>
      <c r="R22" s="51"/>
    </row>
    <row r="23" spans="2:18" ht="15" customHeight="1">
      <c r="B23" s="2"/>
      <c r="C23" s="135" t="s">
        <v>46</v>
      </c>
      <c r="D23" s="136"/>
      <c r="E23" s="124">
        <v>1798</v>
      </c>
      <c r="F23" s="125"/>
      <c r="G23" s="126">
        <v>274451.25999999989</v>
      </c>
      <c r="H23" s="126">
        <v>70467.989999999932</v>
      </c>
      <c r="I23" s="126">
        <v>12444.810000000001</v>
      </c>
      <c r="J23" s="126">
        <v>109250.96999999997</v>
      </c>
      <c r="K23" s="126">
        <v>60.762497219132356</v>
      </c>
      <c r="L23" s="127">
        <v>1.0000000000000002</v>
      </c>
      <c r="M23" s="127">
        <v>0.70017448635506352</v>
      </c>
      <c r="N23" s="134"/>
      <c r="O23" s="126">
        <v>73.117336496980073</v>
      </c>
      <c r="P23" s="127">
        <v>1</v>
      </c>
      <c r="Q23" s="127">
        <v>0.78084608407273215</v>
      </c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5" customHeight="1">
      <c r="B26" s="2"/>
      <c r="C26" s="136" t="s">
        <v>138</v>
      </c>
      <c r="D26" s="136"/>
      <c r="E26" s="1"/>
      <c r="F26" s="1"/>
      <c r="G26" s="1"/>
      <c r="H26" s="166">
        <v>0.36670000000000003</v>
      </c>
      <c r="I26" s="166">
        <v>6.4799999999999996E-2</v>
      </c>
      <c r="J26" s="166">
        <v>0.56850000000000001</v>
      </c>
      <c r="K26" s="1"/>
      <c r="L26" s="1"/>
      <c r="M26" s="1"/>
      <c r="N26" s="1"/>
      <c r="O26" s="1"/>
      <c r="P26" s="13"/>
      <c r="Q26" s="13"/>
      <c r="R26" s="51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>
      <c r="B28" s="2"/>
      <c r="C28" s="136" t="s">
        <v>139</v>
      </c>
      <c r="D28" s="136"/>
      <c r="E28" s="1"/>
      <c r="F28" s="1"/>
      <c r="G28" s="126"/>
      <c r="H28" s="126"/>
      <c r="I28" s="126"/>
      <c r="J28" s="126"/>
      <c r="K28" s="1"/>
      <c r="L28" s="1"/>
      <c r="M28" s="1"/>
      <c r="N28" s="1"/>
      <c r="O28" s="1"/>
      <c r="P28" s="13"/>
      <c r="Q28" s="13"/>
      <c r="R28" s="51"/>
    </row>
    <row r="29" spans="2:18" ht="15" customHeight="1">
      <c r="B29" s="2"/>
      <c r="C29" s="136" t="s">
        <v>140</v>
      </c>
      <c r="D29" s="136"/>
      <c r="E29" s="1"/>
      <c r="F29" s="1"/>
      <c r="G29" s="126"/>
      <c r="H29" s="126"/>
      <c r="I29" s="126"/>
      <c r="J29" s="126"/>
      <c r="K29" s="1"/>
      <c r="L29" s="1"/>
      <c r="M29" s="1"/>
      <c r="N29" s="1"/>
      <c r="O29" s="1"/>
      <c r="P29" s="13"/>
      <c r="Q29" s="13"/>
      <c r="R29" s="51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5" customHeight="1"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3"/>
      <c r="Q31" s="13"/>
      <c r="R31" s="51"/>
    </row>
    <row r="32" spans="2:18" ht="12" customHeight="1">
      <c r="B32" s="3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8"/>
      <c r="Q32" s="138"/>
      <c r="R32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34"/>
  <sheetViews>
    <sheetView showGridLines="0" zoomScale="70" zoomScaleNormal="70" workbookViewId="0">
      <selection activeCell="A25" sqref="A25:XFD25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8" t="str">
        <f>'Page de garde'!C13&amp;" : Détail des Prestations Réglées - Synthèse par famille d'actes"</f>
        <v xml:space="preserve"> : Détail des Prestations Réglées - Synthèse par famille d'actes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40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4" t="s">
        <v>72</v>
      </c>
      <c r="F12" s="255"/>
      <c r="G12" s="255"/>
      <c r="H12" s="255"/>
      <c r="I12" s="255"/>
      <c r="J12" s="255"/>
      <c r="K12" s="255"/>
      <c r="L12" s="255"/>
      <c r="M12" s="256"/>
      <c r="N12" s="32"/>
      <c r="O12" s="254" t="s">
        <v>73</v>
      </c>
      <c r="P12" s="255"/>
      <c r="Q12" s="256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74</v>
      </c>
      <c r="F14" s="121" t="s">
        <v>75</v>
      </c>
      <c r="G14" s="122" t="s">
        <v>76</v>
      </c>
      <c r="H14" s="121" t="s">
        <v>77</v>
      </c>
      <c r="I14" s="121" t="s">
        <v>78</v>
      </c>
      <c r="J14" s="121" t="s">
        <v>79</v>
      </c>
      <c r="K14" s="123" t="s">
        <v>80</v>
      </c>
      <c r="L14" s="123" t="s">
        <v>81</v>
      </c>
      <c r="M14" s="123" t="s">
        <v>82</v>
      </c>
      <c r="N14" s="32"/>
      <c r="O14" s="142" t="s">
        <v>80</v>
      </c>
      <c r="P14" s="142" t="s">
        <v>81</v>
      </c>
      <c r="Q14" s="123" t="s">
        <v>82</v>
      </c>
      <c r="R14" s="51"/>
    </row>
    <row r="15" spans="1:22" ht="15" customHeight="1">
      <c r="B15" s="2"/>
      <c r="C15" s="132" t="s">
        <v>105</v>
      </c>
      <c r="D15" s="133"/>
      <c r="E15" s="55">
        <v>801</v>
      </c>
      <c r="F15" s="66"/>
      <c r="G15" s="56">
        <v>164529.12000000002</v>
      </c>
      <c r="H15" s="56">
        <v>102104.68000000001</v>
      </c>
      <c r="I15" s="56">
        <v>1670.65</v>
      </c>
      <c r="J15" s="56">
        <v>45039.49</v>
      </c>
      <c r="K15" s="56">
        <v>56.229076154806492</v>
      </c>
      <c r="L15" s="57">
        <v>1</v>
      </c>
      <c r="M15" s="57">
        <v>0.90448924786080431</v>
      </c>
      <c r="N15" s="134"/>
      <c r="O15" s="56">
        <v>64.321971002598843</v>
      </c>
      <c r="P15" s="57">
        <v>1</v>
      </c>
      <c r="Q15" s="57">
        <v>0.92379302777816708</v>
      </c>
      <c r="R15" s="51"/>
    </row>
    <row r="16" spans="1:22" ht="15" customHeight="1">
      <c r="B16" s="2"/>
      <c r="C16" s="183"/>
      <c r="D16" s="184" t="s">
        <v>106</v>
      </c>
      <c r="E16" s="185">
        <v>85</v>
      </c>
      <c r="F16" s="186"/>
      <c r="G16" s="187">
        <v>7675.86</v>
      </c>
      <c r="H16" s="187">
        <v>0</v>
      </c>
      <c r="I16" s="187">
        <v>0</v>
      </c>
      <c r="J16" s="187">
        <v>6874.84</v>
      </c>
      <c r="K16" s="187">
        <v>80.880470588235298</v>
      </c>
      <c r="L16" s="188">
        <v>0.15264027190361171</v>
      </c>
      <c r="M16" s="188">
        <v>0.89564426657078167</v>
      </c>
      <c r="N16" s="189"/>
      <c r="O16" s="187">
        <v>90.76275309541154</v>
      </c>
      <c r="P16" s="188">
        <v>0.26499767903967086</v>
      </c>
      <c r="Q16" s="188">
        <v>0.83904105695964992</v>
      </c>
      <c r="R16" s="51"/>
    </row>
    <row r="17" spans="2:18" ht="15" customHeight="1">
      <c r="B17" s="2"/>
      <c r="C17" s="183"/>
      <c r="D17" s="184" t="s">
        <v>107</v>
      </c>
      <c r="E17" s="185">
        <v>51</v>
      </c>
      <c r="F17" s="186"/>
      <c r="G17" s="187">
        <v>6962.12</v>
      </c>
      <c r="H17" s="187">
        <v>4897.5200000000004</v>
      </c>
      <c r="I17" s="187">
        <v>0</v>
      </c>
      <c r="J17" s="187">
        <v>2064.6</v>
      </c>
      <c r="K17" s="187">
        <v>40.482352941176465</v>
      </c>
      <c r="L17" s="188">
        <v>4.5839773052492379E-2</v>
      </c>
      <c r="M17" s="188">
        <v>1</v>
      </c>
      <c r="N17" s="189"/>
      <c r="O17" s="187">
        <v>46.513839891451831</v>
      </c>
      <c r="P17" s="188">
        <v>7.289765427241171E-2</v>
      </c>
      <c r="Q17" s="188">
        <v>0.99943679613597092</v>
      </c>
      <c r="R17" s="51"/>
    </row>
    <row r="18" spans="2:18" ht="15" customHeight="1">
      <c r="B18" s="2"/>
      <c r="C18" s="183"/>
      <c r="D18" s="184" t="s">
        <v>108</v>
      </c>
      <c r="E18" s="185">
        <v>3</v>
      </c>
      <c r="F18" s="186"/>
      <c r="G18" s="187">
        <v>72</v>
      </c>
      <c r="H18" s="187">
        <v>0</v>
      </c>
      <c r="I18" s="187">
        <v>0</v>
      </c>
      <c r="J18" s="187">
        <v>72</v>
      </c>
      <c r="K18" s="187">
        <v>24</v>
      </c>
      <c r="L18" s="188">
        <v>1.59859714219677E-3</v>
      </c>
      <c r="M18" s="188">
        <v>1</v>
      </c>
      <c r="N18" s="189"/>
      <c r="O18" s="187">
        <v>23.77570093457944</v>
      </c>
      <c r="P18" s="188">
        <v>1.0819594259686378E-2</v>
      </c>
      <c r="Q18" s="188">
        <v>1</v>
      </c>
      <c r="R18" s="51"/>
    </row>
    <row r="19" spans="2:18" ht="15" customHeight="1">
      <c r="B19" s="2"/>
      <c r="C19" s="183"/>
      <c r="D19" s="184" t="s">
        <v>109</v>
      </c>
      <c r="E19" s="185">
        <v>13</v>
      </c>
      <c r="F19" s="186"/>
      <c r="G19" s="187">
        <v>1434.47</v>
      </c>
      <c r="H19" s="187">
        <v>932.42</v>
      </c>
      <c r="I19" s="187">
        <v>0</v>
      </c>
      <c r="J19" s="187">
        <v>502.05</v>
      </c>
      <c r="K19" s="187">
        <v>38.619230769230768</v>
      </c>
      <c r="L19" s="188">
        <v>1.1146884656109562E-2</v>
      </c>
      <c r="M19" s="188">
        <v>1</v>
      </c>
      <c r="N19" s="189"/>
      <c r="O19" s="187">
        <v>34.640860000000018</v>
      </c>
      <c r="P19" s="188">
        <v>3.683176592045987E-2</v>
      </c>
      <c r="Q19" s="188">
        <v>0.99969761765042153</v>
      </c>
      <c r="R19" s="51"/>
    </row>
    <row r="20" spans="2:18" ht="15" customHeight="1">
      <c r="B20" s="2"/>
      <c r="C20" s="183"/>
      <c r="D20" s="184" t="s">
        <v>110</v>
      </c>
      <c r="E20" s="185">
        <v>24</v>
      </c>
      <c r="F20" s="186"/>
      <c r="G20" s="187">
        <v>1793.66</v>
      </c>
      <c r="H20" s="187">
        <v>1434.94</v>
      </c>
      <c r="I20" s="187">
        <v>0</v>
      </c>
      <c r="J20" s="187">
        <v>358.72</v>
      </c>
      <c r="K20" s="187">
        <v>14.946666666666667</v>
      </c>
      <c r="L20" s="188">
        <v>7.9645662062336857E-3</v>
      </c>
      <c r="M20" s="188">
        <v>1</v>
      </c>
      <c r="N20" s="189"/>
      <c r="O20" s="187">
        <v>94.310365111561879</v>
      </c>
      <c r="P20" s="188">
        <v>9.8871293887590583E-2</v>
      </c>
      <c r="Q20" s="188">
        <v>0.99982943209325981</v>
      </c>
      <c r="R20" s="51"/>
    </row>
    <row r="21" spans="2:18" ht="15" customHeight="1">
      <c r="B21" s="2"/>
      <c r="C21" s="183"/>
      <c r="D21" s="184" t="s">
        <v>111</v>
      </c>
      <c r="E21" s="185">
        <v>597</v>
      </c>
      <c r="F21" s="186"/>
      <c r="G21" s="187">
        <v>141842.98000000001</v>
      </c>
      <c r="H21" s="187">
        <v>93450.94</v>
      </c>
      <c r="I21" s="187">
        <v>1670.65</v>
      </c>
      <c r="J21" s="187">
        <v>32133.52</v>
      </c>
      <c r="K21" s="187">
        <v>53.82499162479062</v>
      </c>
      <c r="L21" s="188">
        <v>0.71345212834337157</v>
      </c>
      <c r="M21" s="188">
        <v>0.89715479750918936</v>
      </c>
      <c r="N21" s="189"/>
      <c r="O21" s="187">
        <v>58.041021164021174</v>
      </c>
      <c r="P21" s="188">
        <v>0.46654196772396794</v>
      </c>
      <c r="Q21" s="188">
        <v>0.9042503296950225</v>
      </c>
      <c r="R21" s="51"/>
    </row>
    <row r="22" spans="2:18" ht="15" customHeight="1">
      <c r="B22" s="2"/>
      <c r="C22" s="183"/>
      <c r="D22" s="184" t="s">
        <v>112</v>
      </c>
      <c r="E22" s="185">
        <v>15</v>
      </c>
      <c r="F22" s="186"/>
      <c r="G22" s="187">
        <v>3565.31</v>
      </c>
      <c r="H22" s="187">
        <v>1388.86</v>
      </c>
      <c r="I22" s="187">
        <v>0</v>
      </c>
      <c r="J22" s="187">
        <v>1851.04</v>
      </c>
      <c r="K22" s="187">
        <v>123.40266666666666</v>
      </c>
      <c r="L22" s="188">
        <v>4.109815630683207E-2</v>
      </c>
      <c r="M22" s="188">
        <v>0.90872883423881801</v>
      </c>
      <c r="N22" s="189"/>
      <c r="O22" s="187">
        <v>67.941000000000031</v>
      </c>
      <c r="P22" s="188">
        <v>2.4560925532930412E-2</v>
      </c>
      <c r="Q22" s="188">
        <v>0.93400879016736493</v>
      </c>
      <c r="R22" s="51"/>
    </row>
    <row r="23" spans="2:18" ht="15" customHeight="1">
      <c r="B23" s="2"/>
      <c r="C23" s="183"/>
      <c r="D23" s="184" t="s">
        <v>113</v>
      </c>
      <c r="E23" s="185">
        <v>5</v>
      </c>
      <c r="F23" s="186"/>
      <c r="G23" s="187">
        <v>1022.72</v>
      </c>
      <c r="H23" s="187">
        <v>0</v>
      </c>
      <c r="I23" s="187">
        <v>0</v>
      </c>
      <c r="J23" s="187">
        <v>1022.72</v>
      </c>
      <c r="K23" s="187">
        <v>204.54400000000001</v>
      </c>
      <c r="L23" s="188">
        <v>2.2707184295381676E-2</v>
      </c>
      <c r="M23" s="188">
        <v>1</v>
      </c>
      <c r="N23" s="189"/>
      <c r="O23" s="187">
        <v>341.08484848484852</v>
      </c>
      <c r="P23" s="188">
        <v>2.3935375209940636E-2</v>
      </c>
      <c r="Q23" s="188">
        <v>1</v>
      </c>
      <c r="R23" s="51"/>
    </row>
    <row r="24" spans="2:18" ht="15" customHeight="1">
      <c r="B24" s="2"/>
      <c r="C24" s="183"/>
      <c r="D24" s="184" t="s">
        <v>114</v>
      </c>
      <c r="E24" s="185">
        <v>8</v>
      </c>
      <c r="F24" s="186"/>
      <c r="G24" s="187">
        <v>160</v>
      </c>
      <c r="H24" s="187">
        <v>0</v>
      </c>
      <c r="I24" s="187">
        <v>0</v>
      </c>
      <c r="J24" s="187">
        <v>160</v>
      </c>
      <c r="K24" s="187">
        <v>20</v>
      </c>
      <c r="L24" s="188">
        <v>3.5524380937706E-3</v>
      </c>
      <c r="M24" s="188">
        <v>1</v>
      </c>
      <c r="N24" s="189"/>
      <c r="O24" s="187">
        <v>23.245454545454546</v>
      </c>
      <c r="P24" s="188">
        <v>5.4374415334155005E-4</v>
      </c>
      <c r="Q24" s="188">
        <v>0.9346785100705487</v>
      </c>
      <c r="R24" s="51"/>
    </row>
    <row r="25" spans="2:18" ht="15" customHeight="1">
      <c r="B25" s="2"/>
      <c r="C25" s="135" t="s">
        <v>46</v>
      </c>
      <c r="D25" s="136"/>
      <c r="E25" s="124">
        <v>801</v>
      </c>
      <c r="F25" s="125"/>
      <c r="G25" s="126">
        <v>164529.12000000002</v>
      </c>
      <c r="H25" s="126">
        <v>102104.68000000001</v>
      </c>
      <c r="I25" s="126">
        <v>1670.65</v>
      </c>
      <c r="J25" s="126">
        <v>45039.49</v>
      </c>
      <c r="K25" s="126">
        <v>56.229076154806492</v>
      </c>
      <c r="L25" s="127">
        <v>1</v>
      </c>
      <c r="M25" s="127">
        <v>0.90448924786080409</v>
      </c>
      <c r="N25" s="134"/>
      <c r="O25" s="126">
        <v>64.321971002598843</v>
      </c>
      <c r="P25" s="127">
        <v>1</v>
      </c>
      <c r="Q25" s="127">
        <v>0.92379302777816708</v>
      </c>
      <c r="R25" s="51"/>
    </row>
    <row r="26" spans="2:18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>
      <c r="B28" s="2"/>
      <c r="C28" s="136" t="s">
        <v>138</v>
      </c>
      <c r="D28" s="136"/>
      <c r="E28" s="1"/>
      <c r="F28" s="1"/>
      <c r="G28" s="1"/>
      <c r="H28" s="166">
        <v>0.68610000000000004</v>
      </c>
      <c r="I28" s="166">
        <v>1.12E-2</v>
      </c>
      <c r="J28" s="166">
        <v>0.30269999999999997</v>
      </c>
      <c r="K28" s="1"/>
      <c r="L28" s="1"/>
      <c r="M28" s="1"/>
      <c r="N28" s="1"/>
      <c r="O28" s="1"/>
      <c r="P28" s="13"/>
      <c r="Q28" s="13"/>
      <c r="R28" s="51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3"/>
      <c r="Q29" s="13"/>
      <c r="R29" s="51"/>
    </row>
    <row r="30" spans="2:18" ht="15" customHeight="1">
      <c r="B30" s="2"/>
      <c r="C30" s="136" t="s">
        <v>139</v>
      </c>
      <c r="D30" s="136"/>
      <c r="E30" s="1"/>
      <c r="F30" s="1"/>
      <c r="G30" s="126"/>
      <c r="H30" s="126"/>
      <c r="I30" s="126"/>
      <c r="J30" s="126"/>
      <c r="K30" s="1"/>
      <c r="L30" s="1"/>
      <c r="M30" s="1"/>
      <c r="N30" s="1"/>
      <c r="O30" s="1"/>
      <c r="P30" s="13"/>
      <c r="Q30" s="13"/>
      <c r="R30" s="51"/>
    </row>
    <row r="31" spans="2:18" ht="15" customHeight="1">
      <c r="B31" s="2"/>
      <c r="C31" s="136" t="s">
        <v>140</v>
      </c>
      <c r="D31" s="136"/>
      <c r="E31" s="1"/>
      <c r="F31" s="1"/>
      <c r="G31" s="126"/>
      <c r="H31" s="126"/>
      <c r="I31" s="126"/>
      <c r="J31" s="126"/>
      <c r="K31" s="1"/>
      <c r="L31" s="1"/>
      <c r="M31" s="1"/>
      <c r="N31" s="1"/>
      <c r="O31" s="1"/>
      <c r="P31" s="13"/>
      <c r="Q31" s="13"/>
      <c r="R31" s="51"/>
    </row>
    <row r="32" spans="2:18" ht="15" customHeight="1">
      <c r="B32" s="2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3"/>
      <c r="Q32" s="13"/>
      <c r="R32" s="51"/>
    </row>
    <row r="33" spans="2:18" ht="15" customHeight="1"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3"/>
      <c r="Q33" s="13"/>
      <c r="R33" s="51"/>
    </row>
    <row r="34" spans="2:18" ht="12" customHeight="1">
      <c r="B34" s="3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8"/>
      <c r="Q34" s="138"/>
      <c r="R34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8" t="str">
        <f>'Page de garde'!C13&amp;" : Détail des Prestations Réglées - Synthèse par famille d'actes"</f>
        <v xml:space="preserve"> : Détail des Prestations Réglées - Synthèse par famille d'actes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40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4" t="s">
        <v>72</v>
      </c>
      <c r="F12" s="255"/>
      <c r="G12" s="255"/>
      <c r="H12" s="255"/>
      <c r="I12" s="255"/>
      <c r="J12" s="255"/>
      <c r="K12" s="255"/>
      <c r="L12" s="255"/>
      <c r="M12" s="256"/>
      <c r="N12" s="32"/>
      <c r="O12" s="254" t="s">
        <v>73</v>
      </c>
      <c r="P12" s="255"/>
      <c r="Q12" s="256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74</v>
      </c>
      <c r="F14" s="121" t="s">
        <v>75</v>
      </c>
      <c r="G14" s="122" t="s">
        <v>76</v>
      </c>
      <c r="H14" s="121" t="s">
        <v>77</v>
      </c>
      <c r="I14" s="121" t="s">
        <v>78</v>
      </c>
      <c r="J14" s="121" t="s">
        <v>79</v>
      </c>
      <c r="K14" s="123" t="s">
        <v>80</v>
      </c>
      <c r="L14" s="123" t="s">
        <v>81</v>
      </c>
      <c r="M14" s="123" t="s">
        <v>82</v>
      </c>
      <c r="N14" s="32"/>
      <c r="O14" s="142" t="s">
        <v>80</v>
      </c>
      <c r="P14" s="142" t="s">
        <v>81</v>
      </c>
      <c r="Q14" s="123" t="s">
        <v>82</v>
      </c>
      <c r="R14" s="51"/>
    </row>
    <row r="15" spans="1:22" ht="15" customHeight="1">
      <c r="B15" s="2"/>
      <c r="C15" s="132" t="s">
        <v>115</v>
      </c>
      <c r="D15" s="133"/>
      <c r="E15" s="55">
        <v>0</v>
      </c>
      <c r="F15" s="66"/>
      <c r="G15" s="56">
        <v>0</v>
      </c>
      <c r="H15" s="56">
        <v>0</v>
      </c>
      <c r="I15" s="56">
        <v>0</v>
      </c>
      <c r="J15" s="56">
        <v>0</v>
      </c>
      <c r="K15" s="56"/>
      <c r="L15" s="57">
        <v>0</v>
      </c>
      <c r="M15" s="57">
        <v>0</v>
      </c>
      <c r="N15" s="134"/>
      <c r="O15" s="56">
        <v>3180.0919999999996</v>
      </c>
      <c r="P15" s="57">
        <v>1</v>
      </c>
      <c r="Q15" s="57">
        <v>0.80032797397549671</v>
      </c>
      <c r="R15" s="51"/>
    </row>
    <row r="16" spans="1:22" ht="15" customHeight="1">
      <c r="B16" s="2"/>
      <c r="C16" s="183"/>
      <c r="D16" s="184" t="s">
        <v>116</v>
      </c>
      <c r="E16" s="185">
        <v>0</v>
      </c>
      <c r="F16" s="186"/>
      <c r="G16" s="187">
        <v>0</v>
      </c>
      <c r="H16" s="187">
        <v>0</v>
      </c>
      <c r="I16" s="187">
        <v>0</v>
      </c>
      <c r="J16" s="187">
        <v>0</v>
      </c>
      <c r="K16" s="187"/>
      <c r="L16" s="188">
        <v>0</v>
      </c>
      <c r="M16" s="188">
        <v>0</v>
      </c>
      <c r="N16" s="189"/>
      <c r="O16" s="187">
        <v>3180.0919999999996</v>
      </c>
      <c r="P16" s="188">
        <v>1</v>
      </c>
      <c r="Q16" s="188">
        <v>0.80032797397549671</v>
      </c>
      <c r="R16" s="51"/>
    </row>
    <row r="17" spans="2:18" ht="15" customHeight="1">
      <c r="B17" s="2"/>
      <c r="C17" s="135" t="s">
        <v>46</v>
      </c>
      <c r="D17" s="136"/>
      <c r="E17" s="124">
        <v>0</v>
      </c>
      <c r="F17" s="125"/>
      <c r="G17" s="126">
        <v>0</v>
      </c>
      <c r="H17" s="126">
        <v>0</v>
      </c>
      <c r="I17" s="126">
        <v>0</v>
      </c>
      <c r="J17" s="126">
        <v>0</v>
      </c>
      <c r="K17" s="126"/>
      <c r="L17" s="127">
        <v>0</v>
      </c>
      <c r="M17" s="127"/>
      <c r="N17" s="134"/>
      <c r="O17" s="126">
        <v>3180.0919999999996</v>
      </c>
      <c r="P17" s="127">
        <v>1</v>
      </c>
      <c r="Q17" s="127">
        <v>0.80032797397549671</v>
      </c>
      <c r="R17" s="51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3"/>
      <c r="Q18" s="13"/>
      <c r="R18" s="51"/>
    </row>
    <row r="19" spans="2:18" ht="15" customHeigh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3"/>
      <c r="Q19" s="13"/>
      <c r="R19" s="51"/>
    </row>
    <row r="20" spans="2:18" ht="15" customHeight="1">
      <c r="B20" s="2"/>
      <c r="C20" s="136" t="s">
        <v>138</v>
      </c>
      <c r="D20" s="136"/>
      <c r="E20" s="1"/>
      <c r="F20" s="1"/>
      <c r="G20" s="1"/>
      <c r="H20" s="166"/>
      <c r="I20" s="166"/>
      <c r="J20" s="166"/>
      <c r="K20" s="1"/>
      <c r="L20" s="1"/>
      <c r="M20" s="1"/>
      <c r="N20" s="1"/>
      <c r="O20" s="1"/>
      <c r="P20" s="13"/>
      <c r="Q20" s="13"/>
      <c r="R20" s="51"/>
    </row>
    <row r="21" spans="2:18" ht="15" customHeigh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>
      <c r="B22" s="2"/>
      <c r="C22" s="136" t="s">
        <v>139</v>
      </c>
      <c r="D22" s="136"/>
      <c r="E22" s="1"/>
      <c r="F22" s="1"/>
      <c r="G22" s="126"/>
      <c r="H22" s="126"/>
      <c r="I22" s="126"/>
      <c r="J22" s="126"/>
      <c r="K22" s="1"/>
      <c r="L22" s="1"/>
      <c r="M22" s="1"/>
      <c r="N22" s="1"/>
      <c r="O22" s="1"/>
      <c r="P22" s="13"/>
      <c r="Q22" s="13"/>
      <c r="R22" s="51"/>
    </row>
    <row r="23" spans="2:18" ht="15" customHeight="1">
      <c r="B23" s="2"/>
      <c r="C23" s="136" t="s">
        <v>140</v>
      </c>
      <c r="D23" s="136"/>
      <c r="E23" s="1"/>
      <c r="F23" s="1"/>
      <c r="G23" s="126"/>
      <c r="H23" s="126"/>
      <c r="I23" s="126"/>
      <c r="J23" s="126"/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2" customHeight="1">
      <c r="B26" s="3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8"/>
      <c r="Q26" s="138"/>
      <c r="R26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35"/>
  <sheetViews>
    <sheetView showGridLines="0" zoomScale="70" zoomScaleNormal="70" workbookViewId="0">
      <selection activeCell="C25" sqref="C25:Q25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8" t="str">
        <f>'Page de garde'!C13&amp;" : Détail des Prestations Réglées - Synthèse par famille d'actes"</f>
        <v xml:space="preserve"> : Détail des Prestations Réglées - Synthèse par famille d'actes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40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4" t="s">
        <v>72</v>
      </c>
      <c r="F12" s="255"/>
      <c r="G12" s="255"/>
      <c r="H12" s="255"/>
      <c r="I12" s="255"/>
      <c r="J12" s="255"/>
      <c r="K12" s="255"/>
      <c r="L12" s="255"/>
      <c r="M12" s="256"/>
      <c r="N12" s="32"/>
      <c r="O12" s="254" t="s">
        <v>73</v>
      </c>
      <c r="P12" s="255"/>
      <c r="Q12" s="256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74</v>
      </c>
      <c r="F14" s="121" t="s">
        <v>75</v>
      </c>
      <c r="G14" s="122" t="s">
        <v>76</v>
      </c>
      <c r="H14" s="121" t="s">
        <v>77</v>
      </c>
      <c r="I14" s="121" t="s">
        <v>78</v>
      </c>
      <c r="J14" s="121" t="s">
        <v>79</v>
      </c>
      <c r="K14" s="123" t="s">
        <v>80</v>
      </c>
      <c r="L14" s="123" t="s">
        <v>81</v>
      </c>
      <c r="M14" s="123" t="s">
        <v>82</v>
      </c>
      <c r="N14" s="32"/>
      <c r="O14" s="142" t="s">
        <v>80</v>
      </c>
      <c r="P14" s="142" t="s">
        <v>81</v>
      </c>
      <c r="Q14" s="123" t="s">
        <v>82</v>
      </c>
      <c r="R14" s="51"/>
    </row>
    <row r="15" spans="1:22" ht="15" customHeight="1">
      <c r="B15" s="2"/>
      <c r="C15" s="132" t="s">
        <v>117</v>
      </c>
      <c r="D15" s="133"/>
      <c r="E15" s="55">
        <v>949</v>
      </c>
      <c r="F15" s="66"/>
      <c r="G15" s="56">
        <v>200748.59999999998</v>
      </c>
      <c r="H15" s="56">
        <v>807.69999999999936</v>
      </c>
      <c r="I15" s="56">
        <v>19307.18</v>
      </c>
      <c r="J15" s="56">
        <v>99652.600000000108</v>
      </c>
      <c r="K15" s="56">
        <v>105.00800842992625</v>
      </c>
      <c r="L15" s="57">
        <v>0.999999999999999</v>
      </c>
      <c r="M15" s="57">
        <v>0.59660431006741765</v>
      </c>
      <c r="N15" s="134"/>
      <c r="O15" s="56">
        <v>131.49341528239216</v>
      </c>
      <c r="P15" s="57">
        <v>1</v>
      </c>
      <c r="Q15" s="57">
        <v>0.74619350470167811</v>
      </c>
      <c r="R15" s="51"/>
    </row>
    <row r="16" spans="1:22" ht="15" customHeight="1">
      <c r="B16" s="2"/>
      <c r="C16" s="183"/>
      <c r="D16" s="184" t="s">
        <v>118</v>
      </c>
      <c r="E16" s="185">
        <v>484</v>
      </c>
      <c r="F16" s="186"/>
      <c r="G16" s="187">
        <v>117733.85</v>
      </c>
      <c r="H16" s="187">
        <v>451.80999999999898</v>
      </c>
      <c r="I16" s="187">
        <v>10322.200000000001</v>
      </c>
      <c r="J16" s="187">
        <v>55268.710000000101</v>
      </c>
      <c r="K16" s="187">
        <v>114.19154958677686</v>
      </c>
      <c r="L16" s="188">
        <v>0.55461382843999996</v>
      </c>
      <c r="M16" s="188">
        <v>0.56094929368231816</v>
      </c>
      <c r="N16" s="189"/>
      <c r="O16" s="187">
        <v>164.24483886483929</v>
      </c>
      <c r="P16" s="188">
        <v>0.43136581400511315</v>
      </c>
      <c r="Q16" s="188">
        <v>0.74340268838307966</v>
      </c>
      <c r="R16" s="51"/>
    </row>
    <row r="17" spans="2:18" ht="15" customHeight="1">
      <c r="B17" s="2"/>
      <c r="C17" s="183"/>
      <c r="D17" s="184" t="s">
        <v>119</v>
      </c>
      <c r="E17" s="185">
        <v>8</v>
      </c>
      <c r="F17" s="186"/>
      <c r="G17" s="187">
        <v>405</v>
      </c>
      <c r="H17" s="187">
        <v>72.900000000000006</v>
      </c>
      <c r="I17" s="187">
        <v>0</v>
      </c>
      <c r="J17" s="187">
        <v>332.1</v>
      </c>
      <c r="K17" s="187">
        <v>41.512500000000003</v>
      </c>
      <c r="L17" s="188">
        <v>3.3325773737965659E-3</v>
      </c>
      <c r="M17" s="188">
        <v>1</v>
      </c>
      <c r="N17" s="189"/>
      <c r="O17" s="187">
        <v>45.02264150943396</v>
      </c>
      <c r="P17" s="188">
        <v>3.0144379221596351E-3</v>
      </c>
      <c r="Q17" s="188">
        <v>0.99999999999999989</v>
      </c>
      <c r="R17" s="51"/>
    </row>
    <row r="18" spans="2:18" ht="15" customHeight="1">
      <c r="B18" s="2"/>
      <c r="C18" s="183"/>
      <c r="D18" s="184" t="s">
        <v>120</v>
      </c>
      <c r="E18" s="185">
        <v>0</v>
      </c>
      <c r="F18" s="186"/>
      <c r="G18" s="187">
        <v>0</v>
      </c>
      <c r="H18" s="187">
        <v>0</v>
      </c>
      <c r="I18" s="187">
        <v>0</v>
      </c>
      <c r="J18" s="187">
        <v>0</v>
      </c>
      <c r="K18" s="187"/>
      <c r="L18" s="188">
        <v>0</v>
      </c>
      <c r="M18" s="188">
        <v>0</v>
      </c>
      <c r="N18" s="189"/>
      <c r="O18" s="187">
        <v>438.5200000000001</v>
      </c>
      <c r="P18" s="188">
        <v>1.1079467920756378E-2</v>
      </c>
      <c r="Q18" s="188">
        <v>0.47777867332957208</v>
      </c>
      <c r="R18" s="51"/>
    </row>
    <row r="19" spans="2:18" ht="15" customHeight="1">
      <c r="B19" s="2"/>
      <c r="C19" s="183"/>
      <c r="D19" s="184" t="s">
        <v>121</v>
      </c>
      <c r="E19" s="185">
        <v>225</v>
      </c>
      <c r="F19" s="186"/>
      <c r="G19" s="187">
        <v>14770.58</v>
      </c>
      <c r="H19" s="187">
        <v>213.21</v>
      </c>
      <c r="I19" s="187">
        <v>1343.95</v>
      </c>
      <c r="J19" s="187">
        <v>9694.52</v>
      </c>
      <c r="K19" s="187">
        <v>43.086755555555555</v>
      </c>
      <c r="L19" s="188">
        <v>9.7283161703758753E-2</v>
      </c>
      <c r="M19" s="188">
        <v>0.76176290978417915</v>
      </c>
      <c r="N19" s="189"/>
      <c r="O19" s="187">
        <v>62.825277008310238</v>
      </c>
      <c r="P19" s="188">
        <v>0.11460435167502531</v>
      </c>
      <c r="Q19" s="188">
        <v>0.82934846510792881</v>
      </c>
      <c r="R19" s="51"/>
    </row>
    <row r="20" spans="2:18" ht="15" customHeight="1">
      <c r="B20" s="2"/>
      <c r="C20" s="183"/>
      <c r="D20" s="184" t="s">
        <v>122</v>
      </c>
      <c r="E20" s="185">
        <v>0</v>
      </c>
      <c r="F20" s="186"/>
      <c r="G20" s="187">
        <v>0</v>
      </c>
      <c r="H20" s="187">
        <v>0</v>
      </c>
      <c r="I20" s="187">
        <v>0</v>
      </c>
      <c r="J20" s="187">
        <v>0</v>
      </c>
      <c r="K20" s="187"/>
      <c r="L20" s="188">
        <v>0</v>
      </c>
      <c r="M20" s="188">
        <v>0</v>
      </c>
      <c r="N20" s="189"/>
      <c r="O20" s="187">
        <v>127.90041666666667</v>
      </c>
      <c r="P20" s="188">
        <v>3.8777758738749637E-3</v>
      </c>
      <c r="Q20" s="188">
        <v>0.74722597446849948</v>
      </c>
      <c r="R20" s="51"/>
    </row>
    <row r="21" spans="2:18" ht="15" customHeight="1">
      <c r="B21" s="2"/>
      <c r="C21" s="183"/>
      <c r="D21" s="184" t="s">
        <v>123</v>
      </c>
      <c r="E21" s="185">
        <v>3</v>
      </c>
      <c r="F21" s="186"/>
      <c r="G21" s="187">
        <v>418.25</v>
      </c>
      <c r="H21" s="187">
        <v>0.09</v>
      </c>
      <c r="I21" s="187">
        <v>0</v>
      </c>
      <c r="J21" s="187">
        <v>356.91</v>
      </c>
      <c r="K21" s="187">
        <v>118.97000000000001</v>
      </c>
      <c r="L21" s="188">
        <v>3.5815422778733281E-3</v>
      </c>
      <c r="M21" s="188">
        <v>0.85355648535564854</v>
      </c>
      <c r="N21" s="189"/>
      <c r="O21" s="187">
        <v>129.52477272727273</v>
      </c>
      <c r="P21" s="188">
        <v>7.1995444714612169E-3</v>
      </c>
      <c r="Q21" s="188">
        <v>0.74538060711460385</v>
      </c>
      <c r="R21" s="51"/>
    </row>
    <row r="22" spans="2:18" ht="15" customHeight="1">
      <c r="B22" s="2"/>
      <c r="C22" s="183"/>
      <c r="D22" s="184" t="s">
        <v>124</v>
      </c>
      <c r="E22" s="185">
        <v>112</v>
      </c>
      <c r="F22" s="186"/>
      <c r="G22" s="187">
        <v>44640.17</v>
      </c>
      <c r="H22" s="187">
        <v>44.580000000000197</v>
      </c>
      <c r="I22" s="187">
        <v>5469.96</v>
      </c>
      <c r="J22" s="187">
        <v>22025.97</v>
      </c>
      <c r="K22" s="187">
        <v>196.66044642857145</v>
      </c>
      <c r="L22" s="188">
        <v>0.22102754970768426</v>
      </c>
      <c r="M22" s="188">
        <v>0.61694455912690294</v>
      </c>
      <c r="N22" s="189"/>
      <c r="O22" s="187">
        <v>193.28869767441876</v>
      </c>
      <c r="P22" s="188">
        <v>0.2624910060804681</v>
      </c>
      <c r="Q22" s="188">
        <v>0.73164031445120559</v>
      </c>
      <c r="R22" s="51"/>
    </row>
    <row r="23" spans="2:18" ht="15" customHeight="1">
      <c r="B23" s="2"/>
      <c r="C23" s="183"/>
      <c r="D23" s="184" t="s">
        <v>125</v>
      </c>
      <c r="E23" s="185">
        <v>115</v>
      </c>
      <c r="F23" s="186"/>
      <c r="G23" s="187">
        <v>22055.95</v>
      </c>
      <c r="H23" s="187">
        <v>24.990000000000101</v>
      </c>
      <c r="I23" s="187">
        <v>1955.11</v>
      </c>
      <c r="J23" s="187">
        <v>11612.05</v>
      </c>
      <c r="K23" s="187">
        <v>100.97434782608696</v>
      </c>
      <c r="L23" s="188">
        <v>0.11652530892319907</v>
      </c>
      <c r="M23" s="188">
        <v>0.61625774450885129</v>
      </c>
      <c r="N23" s="189"/>
      <c r="O23" s="187">
        <v>101.99027429467085</v>
      </c>
      <c r="P23" s="188">
        <v>0.16440269686962822</v>
      </c>
      <c r="Q23" s="188">
        <v>0.75842431131908894</v>
      </c>
      <c r="R23" s="51"/>
    </row>
    <row r="24" spans="2:18" ht="15" customHeight="1">
      <c r="B24" s="2"/>
      <c r="C24" s="183"/>
      <c r="D24" s="184" t="s">
        <v>126</v>
      </c>
      <c r="E24" s="185">
        <v>2</v>
      </c>
      <c r="F24" s="186"/>
      <c r="G24" s="187">
        <v>724.8</v>
      </c>
      <c r="H24" s="187">
        <v>0.12</v>
      </c>
      <c r="I24" s="187">
        <v>215.96</v>
      </c>
      <c r="J24" s="187">
        <v>362.34</v>
      </c>
      <c r="K24" s="187">
        <v>181.17</v>
      </c>
      <c r="L24" s="188">
        <v>3.6360315736869843E-3</v>
      </c>
      <c r="M24" s="188">
        <v>0.79804083885209709</v>
      </c>
      <c r="N24" s="189"/>
      <c r="O24" s="187">
        <v>373.11250000000001</v>
      </c>
      <c r="P24" s="188">
        <v>1.8853817269831312E-3</v>
      </c>
      <c r="Q24" s="188">
        <v>0.74877082584727572</v>
      </c>
      <c r="R24" s="51"/>
    </row>
    <row r="25" spans="2:18" ht="15" customHeight="1">
      <c r="B25" s="2"/>
      <c r="C25" s="183"/>
      <c r="D25" s="184" t="s">
        <v>127</v>
      </c>
      <c r="E25" s="185">
        <v>0</v>
      </c>
      <c r="F25" s="186"/>
      <c r="G25" s="187">
        <v>0</v>
      </c>
      <c r="H25" s="187">
        <v>0</v>
      </c>
      <c r="I25" s="187">
        <v>0</v>
      </c>
      <c r="J25" s="187">
        <v>0</v>
      </c>
      <c r="K25" s="187"/>
      <c r="L25" s="188">
        <v>0</v>
      </c>
      <c r="M25" s="188">
        <v>0</v>
      </c>
      <c r="N25" s="189"/>
      <c r="O25" s="187">
        <v>62.95</v>
      </c>
      <c r="P25" s="188">
        <v>7.9523454530194045E-5</v>
      </c>
      <c r="Q25" s="188">
        <v>1</v>
      </c>
      <c r="R25" s="51"/>
    </row>
    <row r="26" spans="2:18" ht="15" customHeight="1">
      <c r="B26" s="2"/>
      <c r="C26" s="135" t="s">
        <v>46</v>
      </c>
      <c r="D26" s="136"/>
      <c r="E26" s="124">
        <v>949</v>
      </c>
      <c r="F26" s="125"/>
      <c r="G26" s="126">
        <v>200748.59999999998</v>
      </c>
      <c r="H26" s="126">
        <v>807.69999999999936</v>
      </c>
      <c r="I26" s="126">
        <v>19307.18</v>
      </c>
      <c r="J26" s="126">
        <v>99652.600000000108</v>
      </c>
      <c r="K26" s="126">
        <v>105.00800842992635</v>
      </c>
      <c r="L26" s="127">
        <v>0.999999999999999</v>
      </c>
      <c r="M26" s="127">
        <v>0.59660431006741832</v>
      </c>
      <c r="N26" s="134"/>
      <c r="O26" s="126">
        <v>131.49341528239216</v>
      </c>
      <c r="P26" s="127">
        <v>1</v>
      </c>
      <c r="Q26" s="127">
        <v>0.74619350470167811</v>
      </c>
      <c r="R26" s="51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3"/>
      <c r="Q28" s="13"/>
      <c r="R28" s="51"/>
    </row>
    <row r="29" spans="2:18" ht="15" customHeight="1">
      <c r="B29" s="2"/>
      <c r="C29" s="136" t="s">
        <v>138</v>
      </c>
      <c r="D29" s="136"/>
      <c r="E29" s="1"/>
      <c r="F29" s="1"/>
      <c r="G29" s="1"/>
      <c r="H29" s="166">
        <v>6.7000000000000002E-3</v>
      </c>
      <c r="I29" s="166">
        <v>0.16120000000000001</v>
      </c>
      <c r="J29" s="166">
        <v>0.83209999999999995</v>
      </c>
      <c r="K29" s="1"/>
      <c r="L29" s="1"/>
      <c r="M29" s="1"/>
      <c r="N29" s="1"/>
      <c r="O29" s="1"/>
      <c r="P29" s="13"/>
      <c r="Q29" s="13"/>
      <c r="R29" s="51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5" customHeight="1">
      <c r="B31" s="2"/>
      <c r="C31" s="136" t="s">
        <v>139</v>
      </c>
      <c r="D31" s="136"/>
      <c r="E31" s="1"/>
      <c r="F31" s="1"/>
      <c r="G31" s="126"/>
      <c r="H31" s="126"/>
      <c r="I31" s="126"/>
      <c r="J31" s="126"/>
      <c r="K31" s="1"/>
      <c r="L31" s="1"/>
      <c r="M31" s="1"/>
      <c r="N31" s="1"/>
      <c r="O31" s="1"/>
      <c r="P31" s="13"/>
      <c r="Q31" s="13"/>
      <c r="R31" s="51"/>
    </row>
    <row r="32" spans="2:18" ht="15" customHeight="1">
      <c r="B32" s="2"/>
      <c r="C32" s="136" t="s">
        <v>140</v>
      </c>
      <c r="D32" s="136"/>
      <c r="E32" s="1"/>
      <c r="F32" s="1"/>
      <c r="G32" s="126"/>
      <c r="H32" s="126"/>
      <c r="I32" s="126"/>
      <c r="J32" s="126"/>
      <c r="K32" s="1"/>
      <c r="L32" s="1"/>
      <c r="M32" s="1"/>
      <c r="N32" s="1"/>
      <c r="O32" s="1"/>
      <c r="P32" s="13"/>
      <c r="Q32" s="13"/>
      <c r="R32" s="51"/>
    </row>
    <row r="33" spans="2:18" ht="15" customHeight="1"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3"/>
      <c r="Q33" s="13"/>
      <c r="R33" s="51"/>
    </row>
    <row r="34" spans="2:18" ht="15" customHeight="1"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3"/>
      <c r="Q34" s="13"/>
      <c r="R34" s="51"/>
    </row>
    <row r="35" spans="2:18" ht="12" customHeight="1">
      <c r="B35" s="3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8"/>
      <c r="Q35" s="138"/>
      <c r="R35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27"/>
  <sheetViews>
    <sheetView showGridLines="0" zoomScale="70" zoomScaleNormal="70" workbookViewId="0">
      <selection activeCell="C17" sqref="C17:Q17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8" t="str">
        <f>'Page de garde'!C13&amp;" : Détail des Prestations Réglées - Synthèse par famille d'actes"</f>
        <v xml:space="preserve"> : Détail des Prestations Réglées - Synthèse par famille d'actes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40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4" t="s">
        <v>72</v>
      </c>
      <c r="F12" s="255"/>
      <c r="G12" s="255"/>
      <c r="H12" s="255"/>
      <c r="I12" s="255"/>
      <c r="J12" s="255"/>
      <c r="K12" s="255"/>
      <c r="L12" s="255"/>
      <c r="M12" s="256"/>
      <c r="N12" s="32"/>
      <c r="O12" s="254" t="s">
        <v>73</v>
      </c>
      <c r="P12" s="255"/>
      <c r="Q12" s="256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74</v>
      </c>
      <c r="F14" s="121" t="s">
        <v>75</v>
      </c>
      <c r="G14" s="122" t="s">
        <v>76</v>
      </c>
      <c r="H14" s="121" t="s">
        <v>77</v>
      </c>
      <c r="I14" s="121" t="s">
        <v>78</v>
      </c>
      <c r="J14" s="121" t="s">
        <v>79</v>
      </c>
      <c r="K14" s="123" t="s">
        <v>80</v>
      </c>
      <c r="L14" s="123" t="s">
        <v>81</v>
      </c>
      <c r="M14" s="123" t="s">
        <v>82</v>
      </c>
      <c r="N14" s="32"/>
      <c r="O14" s="142" t="s">
        <v>80</v>
      </c>
      <c r="P14" s="142" t="s">
        <v>81</v>
      </c>
      <c r="Q14" s="123" t="s">
        <v>82</v>
      </c>
      <c r="R14" s="51"/>
    </row>
    <row r="15" spans="1:22" ht="15" customHeight="1">
      <c r="B15" s="2"/>
      <c r="C15" s="132" t="s">
        <v>128</v>
      </c>
      <c r="D15" s="133"/>
      <c r="E15" s="55">
        <v>319</v>
      </c>
      <c r="F15" s="66"/>
      <c r="G15" s="56">
        <v>16573.13</v>
      </c>
      <c r="H15" s="56">
        <v>0</v>
      </c>
      <c r="I15" s="56">
        <v>0</v>
      </c>
      <c r="J15" s="56">
        <v>13582.13</v>
      </c>
      <c r="K15" s="56">
        <v>42.57721003134796</v>
      </c>
      <c r="L15" s="57">
        <v>1</v>
      </c>
      <c r="M15" s="57">
        <v>0.81952715027276068</v>
      </c>
      <c r="N15" s="134"/>
      <c r="O15" s="56">
        <v>41.004826883910383</v>
      </c>
      <c r="P15" s="57">
        <v>1</v>
      </c>
      <c r="Q15" s="57">
        <v>0.76592066064731401</v>
      </c>
      <c r="R15" s="51"/>
    </row>
    <row r="16" spans="1:22" ht="15" customHeight="1">
      <c r="B16" s="2"/>
      <c r="C16" s="183"/>
      <c r="D16" s="184" t="s">
        <v>129</v>
      </c>
      <c r="E16" s="185">
        <v>317</v>
      </c>
      <c r="F16" s="186"/>
      <c r="G16" s="187">
        <v>16506</v>
      </c>
      <c r="H16" s="187">
        <v>0</v>
      </c>
      <c r="I16" s="187">
        <v>0</v>
      </c>
      <c r="J16" s="187">
        <v>13545</v>
      </c>
      <c r="K16" s="187">
        <v>42.728706624605678</v>
      </c>
      <c r="L16" s="188">
        <v>0.99726626088838799</v>
      </c>
      <c r="M16" s="188">
        <v>0.82061068702290074</v>
      </c>
      <c r="N16" s="189"/>
      <c r="O16" s="187">
        <v>41.179215215901301</v>
      </c>
      <c r="P16" s="188">
        <v>0.9947080394390011</v>
      </c>
      <c r="Q16" s="188">
        <v>0.76660648363119199</v>
      </c>
      <c r="R16" s="51"/>
    </row>
    <row r="17" spans="2:18" ht="15" customHeight="1">
      <c r="B17" s="2"/>
      <c r="C17" s="183"/>
      <c r="D17" s="184" t="s">
        <v>130</v>
      </c>
      <c r="E17" s="185">
        <v>2</v>
      </c>
      <c r="F17" s="186"/>
      <c r="G17" s="187">
        <v>67.13</v>
      </c>
      <c r="H17" s="187">
        <v>0</v>
      </c>
      <c r="I17" s="187">
        <v>0</v>
      </c>
      <c r="J17" s="187">
        <v>37.130000000000003</v>
      </c>
      <c r="K17" s="187">
        <v>18.565000000000001</v>
      </c>
      <c r="L17" s="188">
        <v>2.7337391116120965E-3</v>
      </c>
      <c r="M17" s="188">
        <v>0.55310591389840613</v>
      </c>
      <c r="N17" s="189"/>
      <c r="O17" s="187">
        <v>22.831071428571427</v>
      </c>
      <c r="P17" s="188">
        <v>5.2919605609989791E-3</v>
      </c>
      <c r="Q17" s="188">
        <v>0.66136058338130854</v>
      </c>
      <c r="R17" s="51"/>
    </row>
    <row r="18" spans="2:18" ht="15" customHeight="1">
      <c r="B18" s="2"/>
      <c r="C18" s="135" t="s">
        <v>46</v>
      </c>
      <c r="D18" s="136"/>
      <c r="E18" s="124">
        <v>319</v>
      </c>
      <c r="F18" s="125"/>
      <c r="G18" s="126">
        <v>16573.13</v>
      </c>
      <c r="H18" s="126">
        <v>0</v>
      </c>
      <c r="I18" s="126">
        <v>0</v>
      </c>
      <c r="J18" s="126">
        <v>13582.13</v>
      </c>
      <c r="K18" s="126">
        <v>42.57721003134796</v>
      </c>
      <c r="L18" s="127">
        <v>1</v>
      </c>
      <c r="M18" s="127">
        <v>0.81952715027276068</v>
      </c>
      <c r="N18" s="134"/>
      <c r="O18" s="126">
        <v>41.004826883910383</v>
      </c>
      <c r="P18" s="127">
        <v>1</v>
      </c>
      <c r="Q18" s="127">
        <v>0.76592066064731401</v>
      </c>
      <c r="R18" s="51"/>
    </row>
    <row r="19" spans="2:18" ht="15" customHeigh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3"/>
      <c r="Q19" s="13"/>
      <c r="R19" s="51"/>
    </row>
    <row r="20" spans="2:18" ht="15" customHeight="1">
      <c r="B20" s="2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3"/>
      <c r="Q20" s="13"/>
      <c r="R20" s="51"/>
    </row>
    <row r="21" spans="2:18" ht="15" customHeight="1">
      <c r="B21" s="2"/>
      <c r="C21" s="136" t="s">
        <v>138</v>
      </c>
      <c r="D21" s="136"/>
      <c r="E21" s="1"/>
      <c r="F21" s="1"/>
      <c r="G21" s="1"/>
      <c r="H21" s="166">
        <v>0</v>
      </c>
      <c r="I21" s="166">
        <v>0</v>
      </c>
      <c r="J21" s="166">
        <v>1</v>
      </c>
      <c r="K21" s="1"/>
      <c r="L21" s="1"/>
      <c r="M21" s="1"/>
      <c r="N21" s="1"/>
      <c r="O21" s="1"/>
      <c r="P21" s="13"/>
      <c r="Q21" s="13"/>
      <c r="R21" s="51"/>
    </row>
    <row r="22" spans="2:18" ht="15" customHeight="1"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3"/>
      <c r="Q22" s="13"/>
      <c r="R22" s="51"/>
    </row>
    <row r="23" spans="2:18" ht="15" customHeight="1">
      <c r="B23" s="2"/>
      <c r="C23" s="136" t="s">
        <v>139</v>
      </c>
      <c r="D23" s="136"/>
      <c r="E23" s="1"/>
      <c r="F23" s="1"/>
      <c r="G23" s="126"/>
      <c r="H23" s="126"/>
      <c r="I23" s="126"/>
      <c r="J23" s="126"/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36" t="s">
        <v>140</v>
      </c>
      <c r="D24" s="136"/>
      <c r="E24" s="1"/>
      <c r="F24" s="1"/>
      <c r="G24" s="126"/>
      <c r="H24" s="126"/>
      <c r="I24" s="126"/>
      <c r="J24" s="126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18" ht="12" customHeight="1">
      <c r="B27" s="3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8"/>
      <c r="Q27" s="138"/>
      <c r="R27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32"/>
  <sheetViews>
    <sheetView showGridLines="0" zoomScale="70" zoomScaleNormal="70" workbookViewId="0">
      <selection activeCell="A18" sqref="A18:XFD18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8" t="str">
        <f>'Page de garde'!C13&amp;" : Détail des Prestations Réglées - Synthèse par famille d'actes"</f>
        <v xml:space="preserve"> : Détail des Prestations Réglées - Synthèse par famille d'actes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40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4" t="s">
        <v>72</v>
      </c>
      <c r="F12" s="255"/>
      <c r="G12" s="255"/>
      <c r="H12" s="255"/>
      <c r="I12" s="255"/>
      <c r="J12" s="255"/>
      <c r="K12" s="255"/>
      <c r="L12" s="255"/>
      <c r="M12" s="256"/>
      <c r="N12" s="32"/>
      <c r="O12" s="254" t="s">
        <v>73</v>
      </c>
      <c r="P12" s="255"/>
      <c r="Q12" s="256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74</v>
      </c>
      <c r="F14" s="121" t="s">
        <v>75</v>
      </c>
      <c r="G14" s="122" t="s">
        <v>76</v>
      </c>
      <c r="H14" s="121" t="s">
        <v>77</v>
      </c>
      <c r="I14" s="121" t="s">
        <v>78</v>
      </c>
      <c r="J14" s="121" t="s">
        <v>79</v>
      </c>
      <c r="K14" s="123" t="s">
        <v>80</v>
      </c>
      <c r="L14" s="123" t="s">
        <v>81</v>
      </c>
      <c r="M14" s="123" t="s">
        <v>82</v>
      </c>
      <c r="N14" s="32"/>
      <c r="O14" s="142" t="s">
        <v>80</v>
      </c>
      <c r="P14" s="142" t="s">
        <v>81</v>
      </c>
      <c r="Q14" s="123" t="s">
        <v>82</v>
      </c>
      <c r="R14" s="51"/>
    </row>
    <row r="15" spans="1:22" ht="15" customHeight="1">
      <c r="B15" s="2"/>
      <c r="C15" s="132" t="s">
        <v>131</v>
      </c>
      <c r="D15" s="133"/>
      <c r="E15" s="55">
        <v>57096</v>
      </c>
      <c r="F15" s="66"/>
      <c r="G15" s="56">
        <v>595175.54999999644</v>
      </c>
      <c r="H15" s="56">
        <v>330616.05000002298</v>
      </c>
      <c r="I15" s="56">
        <v>11053.979999999998</v>
      </c>
      <c r="J15" s="56">
        <v>201533.56000000378</v>
      </c>
      <c r="K15" s="56">
        <v>3.5297316799775817</v>
      </c>
      <c r="L15" s="57">
        <v>0.99999999999998124</v>
      </c>
      <c r="M15" s="57">
        <v>0.91267793174635603</v>
      </c>
      <c r="N15" s="134"/>
      <c r="O15" s="56">
        <v>4.2845221881843516</v>
      </c>
      <c r="P15" s="57">
        <v>1</v>
      </c>
      <c r="Q15" s="57">
        <v>0.93212435014934381</v>
      </c>
      <c r="R15" s="51"/>
    </row>
    <row r="16" spans="1:22" ht="15" customHeight="1">
      <c r="B16" s="2"/>
      <c r="C16" s="183"/>
      <c r="D16" s="184" t="s">
        <v>132</v>
      </c>
      <c r="E16" s="185">
        <v>2079</v>
      </c>
      <c r="F16" s="186"/>
      <c r="G16" s="187">
        <v>49491.719999999601</v>
      </c>
      <c r="H16" s="187">
        <v>30086.390000000101</v>
      </c>
      <c r="I16" s="187">
        <v>0</v>
      </c>
      <c r="J16" s="187">
        <v>19405.3300000001</v>
      </c>
      <c r="K16" s="187">
        <v>9.3339730639730654</v>
      </c>
      <c r="L16" s="188">
        <v>9.6288330340612446E-2</v>
      </c>
      <c r="M16" s="188">
        <v>1</v>
      </c>
      <c r="N16" s="189"/>
      <c r="O16" s="187">
        <v>9.2234805394452088</v>
      </c>
      <c r="P16" s="188">
        <v>9.4756290070682869E-2</v>
      </c>
      <c r="Q16" s="188">
        <v>0.99929611270573637</v>
      </c>
      <c r="R16" s="51"/>
    </row>
    <row r="17" spans="2:18" ht="15" customHeight="1">
      <c r="B17" s="2"/>
      <c r="C17" s="183"/>
      <c r="D17" s="184" t="s">
        <v>84</v>
      </c>
      <c r="E17" s="185">
        <v>60</v>
      </c>
      <c r="F17" s="186"/>
      <c r="G17" s="187">
        <v>3191.87</v>
      </c>
      <c r="H17" s="187">
        <v>1349.25</v>
      </c>
      <c r="I17" s="187">
        <v>0</v>
      </c>
      <c r="J17" s="187">
        <v>1126.3</v>
      </c>
      <c r="K17" s="187">
        <v>18.771666666666665</v>
      </c>
      <c r="L17" s="188">
        <v>5.5886473696985196E-3</v>
      </c>
      <c r="M17" s="188">
        <v>0.77557983251197582</v>
      </c>
      <c r="N17" s="189"/>
      <c r="O17" s="187">
        <v>20.847408805031439</v>
      </c>
      <c r="P17" s="188">
        <v>2.3795368693442596E-2</v>
      </c>
      <c r="Q17" s="188">
        <v>0.8398220230946104</v>
      </c>
      <c r="R17" s="51"/>
    </row>
    <row r="18" spans="2:18" ht="15" customHeight="1">
      <c r="B18" s="2"/>
      <c r="C18" s="183"/>
      <c r="D18" s="184" t="s">
        <v>133</v>
      </c>
      <c r="E18" s="185">
        <v>5742</v>
      </c>
      <c r="F18" s="186"/>
      <c r="G18" s="187">
        <v>83204.029999999795</v>
      </c>
      <c r="H18" s="187">
        <v>47716.6000000001</v>
      </c>
      <c r="I18" s="187">
        <v>-8.44</v>
      </c>
      <c r="J18" s="187">
        <v>31660.810000000401</v>
      </c>
      <c r="K18" s="187">
        <v>5.5138993382096837</v>
      </c>
      <c r="L18" s="188">
        <v>0.15709944289179137</v>
      </c>
      <c r="M18" s="188">
        <v>0.95390776143895917</v>
      </c>
      <c r="N18" s="189"/>
      <c r="O18" s="187">
        <v>6.8176008703594055</v>
      </c>
      <c r="P18" s="188">
        <v>0.18218859075437799</v>
      </c>
      <c r="Q18" s="188">
        <v>0.94877191246507853</v>
      </c>
      <c r="R18" s="51"/>
    </row>
    <row r="19" spans="2:18" ht="15" customHeight="1">
      <c r="B19" s="2"/>
      <c r="C19" s="183"/>
      <c r="D19" s="184" t="s">
        <v>134</v>
      </c>
      <c r="E19" s="185">
        <v>9887</v>
      </c>
      <c r="F19" s="186"/>
      <c r="G19" s="187">
        <v>272733.06</v>
      </c>
      <c r="H19" s="187">
        <v>144597.68000000299</v>
      </c>
      <c r="I19" s="187">
        <v>11178.63</v>
      </c>
      <c r="J19" s="187">
        <v>79834.979999999501</v>
      </c>
      <c r="K19" s="187">
        <v>8.0747425912814812</v>
      </c>
      <c r="L19" s="188">
        <v>0.3961373976621983</v>
      </c>
      <c r="M19" s="188">
        <v>0.86388973159322902</v>
      </c>
      <c r="N19" s="189"/>
      <c r="O19" s="187">
        <v>10.502637254544746</v>
      </c>
      <c r="P19" s="188">
        <v>0.41390256708288264</v>
      </c>
      <c r="Q19" s="188">
        <v>0.89677471905292239</v>
      </c>
      <c r="R19" s="51"/>
    </row>
    <row r="20" spans="2:18" ht="15" customHeight="1">
      <c r="B20" s="2"/>
      <c r="C20" s="183"/>
      <c r="D20" s="184" t="s">
        <v>135</v>
      </c>
      <c r="E20" s="185">
        <v>1598</v>
      </c>
      <c r="F20" s="186"/>
      <c r="G20" s="187">
        <v>60697.010000000097</v>
      </c>
      <c r="H20" s="187">
        <v>34789.889999999898</v>
      </c>
      <c r="I20" s="187">
        <v>53.72</v>
      </c>
      <c r="J20" s="187">
        <v>15686.55</v>
      </c>
      <c r="K20" s="187">
        <v>9.8163642052565709</v>
      </c>
      <c r="L20" s="188">
        <v>7.7835919734657116E-2</v>
      </c>
      <c r="M20" s="188">
        <v>0.83249833888028424</v>
      </c>
      <c r="N20" s="189"/>
      <c r="O20" s="187">
        <v>12.048909998613269</v>
      </c>
      <c r="P20" s="188">
        <v>6.2371542859962756E-2</v>
      </c>
      <c r="Q20" s="188">
        <v>0.87311641590906175</v>
      </c>
      <c r="R20" s="51"/>
    </row>
    <row r="21" spans="2:18" ht="15" customHeight="1">
      <c r="B21" s="2"/>
      <c r="C21" s="183"/>
      <c r="D21" s="184" t="s">
        <v>136</v>
      </c>
      <c r="E21" s="185">
        <v>37700</v>
      </c>
      <c r="F21" s="186"/>
      <c r="G21" s="187">
        <v>125267.399999997</v>
      </c>
      <c r="H21" s="187">
        <v>71721.960000019899</v>
      </c>
      <c r="I21" s="187">
        <v>-169.93</v>
      </c>
      <c r="J21" s="187">
        <v>53583.410000003802</v>
      </c>
      <c r="K21" s="187">
        <v>1.4213106100795756</v>
      </c>
      <c r="L21" s="188">
        <v>0.26587834800317622</v>
      </c>
      <c r="M21" s="188">
        <v>0.99894657348999027</v>
      </c>
      <c r="N21" s="189"/>
      <c r="O21" s="187">
        <v>1.4762485818611941</v>
      </c>
      <c r="P21" s="188">
        <v>0.22231611587137393</v>
      </c>
      <c r="Q21" s="188">
        <v>0.99811187508445953</v>
      </c>
      <c r="R21" s="51"/>
    </row>
    <row r="22" spans="2:18" ht="15" customHeight="1">
      <c r="B22" s="2"/>
      <c r="C22" s="183"/>
      <c r="D22" s="184" t="s">
        <v>137</v>
      </c>
      <c r="E22" s="185">
        <v>30</v>
      </c>
      <c r="F22" s="186"/>
      <c r="G22" s="187">
        <v>590.46</v>
      </c>
      <c r="H22" s="187">
        <v>354.28</v>
      </c>
      <c r="I22" s="187">
        <v>0</v>
      </c>
      <c r="J22" s="187">
        <v>236.18</v>
      </c>
      <c r="K22" s="187">
        <v>7.8726666666666665</v>
      </c>
      <c r="L22" s="188">
        <v>1.1719139978472845E-3</v>
      </c>
      <c r="M22" s="188">
        <v>1</v>
      </c>
      <c r="N22" s="189"/>
      <c r="O22" s="187">
        <v>8.4787272727272711</v>
      </c>
      <c r="P22" s="188">
        <v>6.6952466727766044E-4</v>
      </c>
      <c r="Q22" s="188">
        <v>0.99999999999999978</v>
      </c>
      <c r="R22" s="51"/>
    </row>
    <row r="23" spans="2:18" ht="15" customHeight="1">
      <c r="B23" s="2"/>
      <c r="C23" s="135" t="s">
        <v>46</v>
      </c>
      <c r="D23" s="136"/>
      <c r="E23" s="124">
        <v>57096</v>
      </c>
      <c r="F23" s="125"/>
      <c r="G23" s="126">
        <v>595175.54999999644</v>
      </c>
      <c r="H23" s="126">
        <v>330616.05000002298</v>
      </c>
      <c r="I23" s="126">
        <v>11053.979999999998</v>
      </c>
      <c r="J23" s="126">
        <v>201533.56000000378</v>
      </c>
      <c r="K23" s="126">
        <v>3.5297316799776479</v>
      </c>
      <c r="L23" s="127">
        <v>0.99999999999998124</v>
      </c>
      <c r="M23" s="127">
        <v>0.91267793174640655</v>
      </c>
      <c r="N23" s="134"/>
      <c r="O23" s="126">
        <v>4.2845221881843516</v>
      </c>
      <c r="P23" s="127">
        <v>1</v>
      </c>
      <c r="Q23" s="127">
        <v>0.93212435014934381</v>
      </c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5" customHeight="1">
      <c r="B26" s="2"/>
      <c r="C26" s="136" t="s">
        <v>138</v>
      </c>
      <c r="D26" s="136"/>
      <c r="E26" s="1"/>
      <c r="F26" s="1"/>
      <c r="G26" s="1"/>
      <c r="H26" s="166">
        <v>0.60860000000000003</v>
      </c>
      <c r="I26" s="166">
        <v>2.0299999999999999E-2</v>
      </c>
      <c r="J26" s="166">
        <v>0.37109999999999999</v>
      </c>
      <c r="K26" s="1"/>
      <c r="L26" s="1"/>
      <c r="M26" s="1"/>
      <c r="N26" s="1"/>
      <c r="O26" s="1"/>
      <c r="P26" s="13"/>
      <c r="Q26" s="13"/>
      <c r="R26" s="51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>
      <c r="B28" s="2"/>
      <c r="C28" s="136" t="s">
        <v>139</v>
      </c>
      <c r="D28" s="136"/>
      <c r="E28" s="1"/>
      <c r="F28" s="1"/>
      <c r="G28" s="126"/>
      <c r="H28" s="126"/>
      <c r="I28" s="126"/>
      <c r="J28" s="126"/>
      <c r="K28" s="1"/>
      <c r="L28" s="1"/>
      <c r="M28" s="1"/>
      <c r="N28" s="1"/>
      <c r="O28" s="1"/>
      <c r="P28" s="13"/>
      <c r="Q28" s="13"/>
      <c r="R28" s="51"/>
    </row>
    <row r="29" spans="2:18" ht="15" customHeight="1">
      <c r="B29" s="2"/>
      <c r="C29" s="136" t="s">
        <v>140</v>
      </c>
      <c r="D29" s="136"/>
      <c r="E29" s="1"/>
      <c r="F29" s="1"/>
      <c r="G29" s="126"/>
      <c r="H29" s="126"/>
      <c r="I29" s="126"/>
      <c r="J29" s="126"/>
      <c r="K29" s="1"/>
      <c r="L29" s="1"/>
      <c r="M29" s="1"/>
      <c r="N29" s="1"/>
      <c r="O29" s="1"/>
      <c r="P29" s="13"/>
      <c r="Q29" s="13"/>
      <c r="R29" s="51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5" customHeight="1"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3"/>
      <c r="Q31" s="13"/>
      <c r="R31" s="51"/>
    </row>
    <row r="32" spans="2:18" ht="12" customHeight="1">
      <c r="B32" s="3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8"/>
      <c r="Q32" s="138"/>
      <c r="R32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  <pageSetUpPr fitToPage="1"/>
  </sheetPr>
  <dimension ref="A1:V64"/>
  <sheetViews>
    <sheetView showGridLines="0" topLeftCell="A26" zoomScale="70" zoomScaleNormal="70" workbookViewId="0">
      <selection activeCell="A56" sqref="A56:XFD56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6" width="21.42578125" customWidth="1"/>
    <col min="7" max="7" width="26.7109375" style="141" customWidth="1"/>
    <col min="8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152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8"/>
      <c r="C2" s="49"/>
      <c r="D2" s="49"/>
      <c r="E2" s="49"/>
      <c r="F2" s="49"/>
      <c r="G2" s="153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2:22" ht="15" customHeight="1">
      <c r="B3" s="2"/>
      <c r="R3" s="51"/>
    </row>
    <row r="4" spans="2:22" ht="15" customHeight="1">
      <c r="B4" s="2"/>
      <c r="R4" s="51"/>
    </row>
    <row r="5" spans="2:22" ht="15" customHeight="1">
      <c r="B5" s="2"/>
      <c r="R5" s="51"/>
    </row>
    <row r="6" spans="2:22" ht="15" customHeight="1">
      <c r="B6" s="2"/>
      <c r="R6" s="51"/>
    </row>
    <row r="7" spans="2:22" ht="15" hidden="1" customHeight="1">
      <c r="B7" s="2"/>
      <c r="R7" s="51"/>
    </row>
    <row r="8" spans="2:22" ht="60" customHeight="1">
      <c r="B8" s="2"/>
      <c r="C8" s="238" t="str">
        <f>IF(E14&lt;&gt;0,'[1]Page de garde'!C13&amp;" : Détail des Prestations Réglées - Synthèse par famille d'actes" &amp; " - années " &amp;E14 &amp; " et "&amp;F14,'[1]Page de garde'!C13&amp;" : Détail des Prestations Réglées - Synthèse par famille d'actes" &amp; " - année " &amp;F14)</f>
        <v>KERIALIS_ : Détail des Prestations Réglées - Synthèse par famille d'actes - année 2021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40"/>
      <c r="R8" s="51"/>
    </row>
    <row r="9" spans="2:22">
      <c r="B9" s="2"/>
      <c r="R9" s="51"/>
    </row>
    <row r="10" spans="2:22">
      <c r="B10" s="2"/>
      <c r="R10" s="51"/>
    </row>
    <row r="11" spans="2:22">
      <c r="B11" s="2"/>
      <c r="R11" s="51"/>
    </row>
    <row r="12" spans="2:22">
      <c r="B12" s="2"/>
      <c r="C12" s="34"/>
      <c r="D12" s="34"/>
      <c r="E12" s="259" t="s">
        <v>79</v>
      </c>
      <c r="F12" s="260"/>
      <c r="G12" s="261"/>
      <c r="H12" s="34"/>
      <c r="I12" s="34"/>
      <c r="M12" s="34"/>
      <c r="N12" s="32"/>
      <c r="R12" s="51"/>
    </row>
    <row r="13" spans="2:22">
      <c r="B13" s="2"/>
      <c r="C13" s="34"/>
      <c r="D13" s="34"/>
      <c r="E13" s="34"/>
      <c r="F13" s="34"/>
      <c r="G13" s="154"/>
      <c r="H13" s="34"/>
      <c r="I13" s="34"/>
      <c r="J13" s="34"/>
      <c r="K13" s="34"/>
      <c r="L13" s="34"/>
      <c r="M13" s="34"/>
      <c r="N13" s="32"/>
      <c r="R13" s="51"/>
    </row>
    <row r="14" spans="2:22" ht="45" customHeight="1">
      <c r="B14" s="2"/>
      <c r="C14" s="34"/>
      <c r="D14" s="34"/>
      <c r="E14" s="150">
        <v>0</v>
      </c>
      <c r="F14" s="150">
        <v>2021</v>
      </c>
      <c r="G14" s="151"/>
      <c r="H14" s="34"/>
      <c r="I14" s="34"/>
      <c r="J14" s="34"/>
      <c r="K14" s="34"/>
      <c r="L14" s="34"/>
      <c r="M14" s="34"/>
      <c r="N14" s="32"/>
      <c r="R14" s="51"/>
    </row>
    <row r="15" spans="2:22" ht="15" customHeight="1">
      <c r="B15" s="2"/>
      <c r="C15" s="132" t="s">
        <v>83</v>
      </c>
      <c r="D15" s="133"/>
      <c r="E15" s="55">
        <v>0</v>
      </c>
      <c r="F15" s="55">
        <v>13270.3</v>
      </c>
      <c r="G15" s="221"/>
      <c r="H15" s="34"/>
      <c r="I15" s="34"/>
      <c r="J15" s="34"/>
      <c r="K15" s="34"/>
      <c r="L15" s="34"/>
      <c r="M15" s="34"/>
      <c r="N15" s="134"/>
      <c r="R15" s="51"/>
      <c r="T15" s="222"/>
    </row>
    <row r="16" spans="2:22" ht="15" customHeight="1">
      <c r="B16" s="2"/>
      <c r="C16" s="183"/>
      <c r="D16" s="184" t="s">
        <v>84</v>
      </c>
      <c r="E16" s="185">
        <v>0</v>
      </c>
      <c r="F16" s="185">
        <v>12870.3</v>
      </c>
      <c r="G16" s="223"/>
      <c r="H16" s="224"/>
      <c r="I16" s="224"/>
      <c r="J16" s="224"/>
      <c r="K16" s="224"/>
      <c r="L16" s="224"/>
      <c r="M16" s="224"/>
      <c r="N16" s="189"/>
      <c r="O16" s="59"/>
      <c r="P16" s="59"/>
      <c r="Q16" s="59"/>
      <c r="R16" s="51"/>
      <c r="T16" s="222"/>
    </row>
    <row r="17" spans="2:20" ht="15" customHeight="1">
      <c r="B17" s="2"/>
      <c r="C17" s="183"/>
      <c r="D17" s="184" t="s">
        <v>87</v>
      </c>
      <c r="E17" s="185">
        <v>0</v>
      </c>
      <c r="F17" s="185">
        <v>200</v>
      </c>
      <c r="G17" s="223"/>
      <c r="H17" s="224"/>
      <c r="I17" s="224"/>
      <c r="J17" s="224"/>
      <c r="K17" s="224"/>
      <c r="L17" s="224"/>
      <c r="M17" s="224"/>
      <c r="N17" s="189"/>
      <c r="O17" s="59"/>
      <c r="P17" s="59"/>
      <c r="Q17" s="59"/>
      <c r="R17" s="51"/>
      <c r="T17" s="222"/>
    </row>
    <row r="18" spans="2:20" ht="15" customHeight="1">
      <c r="B18" s="2"/>
      <c r="C18" s="183"/>
      <c r="D18" s="184" t="s">
        <v>88</v>
      </c>
      <c r="E18" s="185">
        <v>0</v>
      </c>
      <c r="F18" s="185">
        <v>200</v>
      </c>
      <c r="G18" s="223"/>
      <c r="H18" s="224"/>
      <c r="I18" s="224"/>
      <c r="J18" s="224"/>
      <c r="K18" s="224"/>
      <c r="L18" s="224"/>
      <c r="M18" s="224"/>
      <c r="N18" s="189"/>
      <c r="O18" s="59"/>
      <c r="P18" s="59"/>
      <c r="Q18" s="59"/>
      <c r="R18" s="51"/>
      <c r="T18" s="222"/>
    </row>
    <row r="19" spans="2:20" ht="15" customHeight="1">
      <c r="B19" s="2"/>
      <c r="C19" s="132" t="s">
        <v>90</v>
      </c>
      <c r="D19" s="133"/>
      <c r="E19" s="55">
        <v>0</v>
      </c>
      <c r="F19" s="55">
        <v>5436.34</v>
      </c>
      <c r="G19" s="221"/>
      <c r="H19" s="34"/>
      <c r="I19" s="34"/>
      <c r="J19" s="34"/>
      <c r="K19" s="34"/>
      <c r="L19" s="34"/>
      <c r="M19" s="34"/>
      <c r="N19" s="134"/>
      <c r="R19" s="51"/>
      <c r="T19" s="222"/>
    </row>
    <row r="20" spans="2:20" ht="15" customHeight="1">
      <c r="B20" s="2"/>
      <c r="C20" s="183"/>
      <c r="D20" s="184" t="s">
        <v>92</v>
      </c>
      <c r="E20" s="185">
        <v>0</v>
      </c>
      <c r="F20" s="185">
        <v>240</v>
      </c>
      <c r="G20" s="223"/>
      <c r="H20" s="224"/>
      <c r="I20" s="224"/>
      <c r="J20" s="224"/>
      <c r="K20" s="224"/>
      <c r="L20" s="224"/>
      <c r="M20" s="224"/>
      <c r="N20" s="189"/>
      <c r="O20" s="59"/>
      <c r="P20" s="59"/>
      <c r="Q20" s="59"/>
      <c r="R20" s="51"/>
      <c r="T20" s="222"/>
    </row>
    <row r="21" spans="2:20" ht="15" customHeight="1">
      <c r="B21" s="2"/>
      <c r="C21" s="183"/>
      <c r="D21" s="184" t="s">
        <v>94</v>
      </c>
      <c r="E21" s="185">
        <v>0</v>
      </c>
      <c r="F21" s="185">
        <v>5196.34</v>
      </c>
      <c r="G21" s="223"/>
      <c r="H21" s="224"/>
      <c r="I21" s="224"/>
      <c r="J21" s="224"/>
      <c r="K21" s="224"/>
      <c r="L21" s="224"/>
      <c r="M21" s="224"/>
      <c r="N21" s="189"/>
      <c r="O21" s="59"/>
      <c r="P21" s="59"/>
      <c r="Q21" s="59"/>
      <c r="R21" s="51"/>
      <c r="T21" s="222"/>
    </row>
    <row r="22" spans="2:20" ht="15" customHeight="1">
      <c r="B22" s="2"/>
      <c r="C22" s="132" t="s">
        <v>95</v>
      </c>
      <c r="D22" s="133"/>
      <c r="E22" s="55">
        <v>0</v>
      </c>
      <c r="F22" s="55">
        <v>316.72000000000003</v>
      </c>
      <c r="G22" s="221"/>
      <c r="H22" s="34"/>
      <c r="I22" s="34"/>
      <c r="J22" s="34"/>
      <c r="K22" s="34"/>
      <c r="L22" s="34"/>
      <c r="M22" s="34"/>
      <c r="N22" s="134"/>
      <c r="R22" s="51"/>
      <c r="T22" s="222"/>
    </row>
    <row r="23" spans="2:20" ht="15" customHeight="1">
      <c r="B23" s="2"/>
      <c r="C23" s="183"/>
      <c r="D23" s="184" t="s">
        <v>96</v>
      </c>
      <c r="E23" s="185">
        <v>0</v>
      </c>
      <c r="F23" s="185">
        <v>316.72000000000003</v>
      </c>
      <c r="G23" s="223"/>
      <c r="H23" s="224"/>
      <c r="I23" s="224"/>
      <c r="J23" s="224"/>
      <c r="K23" s="224"/>
      <c r="L23" s="224"/>
      <c r="M23" s="224"/>
      <c r="N23" s="189"/>
      <c r="O23" s="59"/>
      <c r="P23" s="59"/>
      <c r="Q23" s="59"/>
      <c r="R23" s="51"/>
      <c r="T23" s="222"/>
    </row>
    <row r="24" spans="2:20" ht="15" customHeight="1">
      <c r="B24" s="2"/>
      <c r="C24" s="132" t="s">
        <v>97</v>
      </c>
      <c r="D24" s="133"/>
      <c r="E24" s="55">
        <v>0</v>
      </c>
      <c r="F24" s="55">
        <v>109250.96999999997</v>
      </c>
      <c r="G24" s="221"/>
      <c r="H24" s="34"/>
      <c r="I24" s="34"/>
      <c r="J24" s="34"/>
      <c r="K24" s="34"/>
      <c r="L24" s="34"/>
      <c r="M24" s="34"/>
      <c r="N24" s="134"/>
      <c r="R24" s="51"/>
      <c r="T24" s="222"/>
    </row>
    <row r="25" spans="2:20" ht="15" customHeight="1">
      <c r="B25" s="2"/>
      <c r="C25" s="183"/>
      <c r="D25" s="184" t="s">
        <v>98</v>
      </c>
      <c r="E25" s="185">
        <v>0</v>
      </c>
      <c r="F25" s="185">
        <v>3774.8399999999901</v>
      </c>
      <c r="G25" s="223"/>
      <c r="H25" s="224"/>
      <c r="I25" s="224"/>
      <c r="J25" s="224"/>
      <c r="K25" s="224"/>
      <c r="L25" s="224"/>
      <c r="M25" s="224"/>
      <c r="N25" s="189"/>
      <c r="O25" s="59"/>
      <c r="P25" s="59"/>
      <c r="Q25" s="59"/>
      <c r="R25" s="51"/>
      <c r="T25" s="222"/>
    </row>
    <row r="26" spans="2:20" ht="15" customHeight="1">
      <c r="B26" s="2"/>
      <c r="C26" s="183"/>
      <c r="D26" s="184" t="s">
        <v>99</v>
      </c>
      <c r="E26" s="185">
        <v>0</v>
      </c>
      <c r="F26" s="185">
        <v>14700.3</v>
      </c>
      <c r="G26" s="223"/>
      <c r="H26" s="224"/>
      <c r="I26" s="224"/>
      <c r="J26" s="224"/>
      <c r="K26" s="224"/>
      <c r="L26" s="224"/>
      <c r="M26" s="224"/>
      <c r="N26" s="189"/>
      <c r="O26" s="59"/>
      <c r="P26" s="59"/>
      <c r="Q26" s="59"/>
      <c r="R26" s="51"/>
      <c r="T26" s="222"/>
    </row>
    <row r="27" spans="2:20" ht="15" customHeight="1">
      <c r="B27" s="2"/>
      <c r="C27" s="183"/>
      <c r="D27" s="184" t="s">
        <v>100</v>
      </c>
      <c r="E27" s="185">
        <v>0</v>
      </c>
      <c r="F27" s="185">
        <v>899.28</v>
      </c>
      <c r="G27" s="223"/>
      <c r="H27" s="224"/>
      <c r="I27" s="224"/>
      <c r="J27" s="224"/>
      <c r="K27" s="224"/>
      <c r="L27" s="224"/>
      <c r="M27" s="224"/>
      <c r="N27" s="189"/>
      <c r="O27" s="59"/>
      <c r="P27" s="59"/>
      <c r="Q27" s="59"/>
      <c r="R27" s="51"/>
      <c r="T27" s="222"/>
    </row>
    <row r="28" spans="2:20" ht="15" customHeight="1">
      <c r="B28" s="2"/>
      <c r="C28" s="183"/>
      <c r="D28" s="184" t="s">
        <v>101</v>
      </c>
      <c r="E28" s="185">
        <v>0</v>
      </c>
      <c r="F28" s="185">
        <v>61116.12</v>
      </c>
      <c r="G28" s="223"/>
      <c r="H28" s="224"/>
      <c r="I28" s="224"/>
      <c r="J28" s="224"/>
      <c r="K28" s="224"/>
      <c r="L28" s="224"/>
      <c r="M28" s="224"/>
      <c r="N28" s="189"/>
      <c r="O28" s="59"/>
      <c r="P28" s="59"/>
      <c r="Q28" s="59"/>
      <c r="R28" s="51"/>
      <c r="T28" s="222"/>
    </row>
    <row r="29" spans="2:20" ht="15" customHeight="1">
      <c r="B29" s="2"/>
      <c r="C29" s="183"/>
      <c r="D29" s="184" t="s">
        <v>102</v>
      </c>
      <c r="E29" s="185">
        <v>0</v>
      </c>
      <c r="F29" s="185">
        <v>12759.56</v>
      </c>
      <c r="G29" s="223"/>
      <c r="H29" s="224"/>
      <c r="I29" s="224"/>
      <c r="J29" s="224"/>
      <c r="K29" s="224"/>
      <c r="L29" s="224"/>
      <c r="M29" s="224"/>
      <c r="N29" s="189"/>
      <c r="O29" s="59"/>
      <c r="P29" s="59"/>
      <c r="Q29" s="59"/>
      <c r="R29" s="51"/>
      <c r="T29" s="222"/>
    </row>
    <row r="30" spans="2:20" ht="15" customHeight="1">
      <c r="B30" s="2"/>
      <c r="C30" s="183"/>
      <c r="D30" s="184" t="s">
        <v>103</v>
      </c>
      <c r="E30" s="185">
        <v>0</v>
      </c>
      <c r="F30" s="185">
        <v>8674.8700000000008</v>
      </c>
      <c r="G30" s="223"/>
      <c r="H30" s="224"/>
      <c r="I30" s="224"/>
      <c r="J30" s="224"/>
      <c r="K30" s="224"/>
      <c r="L30" s="224"/>
      <c r="M30" s="224"/>
      <c r="N30" s="189"/>
      <c r="O30" s="59"/>
      <c r="P30" s="59"/>
      <c r="Q30" s="59"/>
      <c r="R30" s="51"/>
      <c r="T30" s="222"/>
    </row>
    <row r="31" spans="2:20" ht="15" customHeight="1">
      <c r="B31" s="2"/>
      <c r="C31" s="183"/>
      <c r="D31" s="184" t="s">
        <v>104</v>
      </c>
      <c r="E31" s="185">
        <v>0</v>
      </c>
      <c r="F31" s="185">
        <v>7325.99999999998</v>
      </c>
      <c r="G31" s="223"/>
      <c r="H31" s="224"/>
      <c r="I31" s="224"/>
      <c r="J31" s="224"/>
      <c r="K31" s="224"/>
      <c r="L31" s="224"/>
      <c r="M31" s="224"/>
      <c r="N31" s="189"/>
      <c r="O31" s="59"/>
      <c r="P31" s="59"/>
      <c r="Q31" s="59"/>
      <c r="R31" s="51"/>
      <c r="T31" s="222"/>
    </row>
    <row r="32" spans="2:20" ht="15" customHeight="1">
      <c r="B32" s="2"/>
      <c r="C32" s="132" t="s">
        <v>105</v>
      </c>
      <c r="D32" s="133"/>
      <c r="E32" s="55">
        <v>0</v>
      </c>
      <c r="F32" s="55">
        <v>45039.49</v>
      </c>
      <c r="G32" s="221"/>
      <c r="H32" s="34"/>
      <c r="I32" s="34"/>
      <c r="J32" s="34"/>
      <c r="K32" s="34"/>
      <c r="L32" s="34"/>
      <c r="M32" s="34"/>
      <c r="N32" s="134"/>
      <c r="R32" s="51"/>
      <c r="T32" s="222"/>
    </row>
    <row r="33" spans="2:20" ht="15" customHeight="1">
      <c r="B33" s="2"/>
      <c r="C33" s="183"/>
      <c r="D33" s="184" t="s">
        <v>106</v>
      </c>
      <c r="E33" s="185">
        <v>0</v>
      </c>
      <c r="F33" s="185">
        <v>6874.84</v>
      </c>
      <c r="G33" s="223"/>
      <c r="H33" s="224"/>
      <c r="I33" s="224"/>
      <c r="J33" s="224"/>
      <c r="K33" s="224"/>
      <c r="L33" s="224"/>
      <c r="M33" s="224"/>
      <c r="N33" s="189"/>
      <c r="O33" s="59"/>
      <c r="P33" s="59"/>
      <c r="Q33" s="59"/>
      <c r="R33" s="51"/>
      <c r="T33" s="222"/>
    </row>
    <row r="34" spans="2:20" ht="15" customHeight="1">
      <c r="B34" s="2"/>
      <c r="C34" s="183"/>
      <c r="D34" s="184" t="s">
        <v>107</v>
      </c>
      <c r="E34" s="185">
        <v>0</v>
      </c>
      <c r="F34" s="185">
        <v>2064.6</v>
      </c>
      <c r="G34" s="223"/>
      <c r="H34" s="224"/>
      <c r="I34" s="224"/>
      <c r="J34" s="224"/>
      <c r="K34" s="224"/>
      <c r="L34" s="224"/>
      <c r="M34" s="224"/>
      <c r="N34" s="189"/>
      <c r="O34" s="59"/>
      <c r="P34" s="59"/>
      <c r="Q34" s="59"/>
      <c r="R34" s="51"/>
      <c r="T34" s="222"/>
    </row>
    <row r="35" spans="2:20" ht="15" customHeight="1">
      <c r="B35" s="2"/>
      <c r="C35" s="183"/>
      <c r="D35" s="184" t="s">
        <v>108</v>
      </c>
      <c r="E35" s="185">
        <v>0</v>
      </c>
      <c r="F35" s="185">
        <v>72</v>
      </c>
      <c r="G35" s="223"/>
      <c r="H35" s="224"/>
      <c r="I35" s="224"/>
      <c r="J35" s="224"/>
      <c r="K35" s="224"/>
      <c r="L35" s="224"/>
      <c r="M35" s="224"/>
      <c r="N35" s="189"/>
      <c r="O35" s="59"/>
      <c r="P35" s="59"/>
      <c r="Q35" s="59"/>
      <c r="R35" s="51"/>
      <c r="T35" s="222"/>
    </row>
    <row r="36" spans="2:20" ht="15" customHeight="1">
      <c r="B36" s="2"/>
      <c r="C36" s="183"/>
      <c r="D36" s="184" t="s">
        <v>109</v>
      </c>
      <c r="E36" s="185">
        <v>0</v>
      </c>
      <c r="F36" s="185">
        <v>502.05</v>
      </c>
      <c r="G36" s="223"/>
      <c r="H36" s="224"/>
      <c r="I36" s="224"/>
      <c r="J36" s="224"/>
      <c r="K36" s="224"/>
      <c r="L36" s="224"/>
      <c r="M36" s="224"/>
      <c r="N36" s="189"/>
      <c r="O36" s="59"/>
      <c r="P36" s="59"/>
      <c r="Q36" s="59"/>
      <c r="R36" s="51"/>
      <c r="T36" s="222"/>
    </row>
    <row r="37" spans="2:20" ht="15" customHeight="1">
      <c r="B37" s="2"/>
      <c r="C37" s="183"/>
      <c r="D37" s="184" t="s">
        <v>110</v>
      </c>
      <c r="E37" s="185">
        <v>0</v>
      </c>
      <c r="F37" s="185">
        <v>358.72</v>
      </c>
      <c r="G37" s="223"/>
      <c r="H37" s="224"/>
      <c r="I37" s="224"/>
      <c r="J37" s="224"/>
      <c r="K37" s="224"/>
      <c r="L37" s="224"/>
      <c r="M37" s="224"/>
      <c r="N37" s="189"/>
      <c r="O37" s="59"/>
      <c r="P37" s="59"/>
      <c r="Q37" s="59"/>
      <c r="R37" s="51"/>
      <c r="T37" s="222"/>
    </row>
    <row r="38" spans="2:20" ht="15" customHeight="1">
      <c r="B38" s="2"/>
      <c r="C38" s="183"/>
      <c r="D38" s="184" t="s">
        <v>111</v>
      </c>
      <c r="E38" s="185">
        <v>0</v>
      </c>
      <c r="F38" s="185">
        <v>32133.52</v>
      </c>
      <c r="G38" s="223"/>
      <c r="H38" s="224"/>
      <c r="I38" s="224"/>
      <c r="J38" s="224"/>
      <c r="K38" s="224"/>
      <c r="L38" s="224"/>
      <c r="M38" s="224"/>
      <c r="N38" s="189"/>
      <c r="O38" s="59"/>
      <c r="P38" s="59"/>
      <c r="Q38" s="59"/>
      <c r="R38" s="51"/>
      <c r="T38" s="222"/>
    </row>
    <row r="39" spans="2:20" ht="15" customHeight="1">
      <c r="B39" s="2"/>
      <c r="C39" s="183"/>
      <c r="D39" s="184" t="s">
        <v>112</v>
      </c>
      <c r="E39" s="185">
        <v>0</v>
      </c>
      <c r="F39" s="185">
        <v>1851.04</v>
      </c>
      <c r="G39" s="223"/>
      <c r="H39" s="224"/>
      <c r="I39" s="224"/>
      <c r="J39" s="224"/>
      <c r="K39" s="224"/>
      <c r="L39" s="224"/>
      <c r="M39" s="224"/>
      <c r="N39" s="189"/>
      <c r="O39" s="59"/>
      <c r="P39" s="59"/>
      <c r="Q39" s="59"/>
      <c r="R39" s="51"/>
      <c r="T39" s="222"/>
    </row>
    <row r="40" spans="2:20" ht="15" customHeight="1">
      <c r="B40" s="2"/>
      <c r="C40" s="183"/>
      <c r="D40" s="184" t="s">
        <v>113</v>
      </c>
      <c r="E40" s="185">
        <v>0</v>
      </c>
      <c r="F40" s="185">
        <v>1022.72</v>
      </c>
      <c r="G40" s="223"/>
      <c r="H40" s="224"/>
      <c r="I40" s="224"/>
      <c r="J40" s="224"/>
      <c r="K40" s="224"/>
      <c r="L40" s="224"/>
      <c r="M40" s="224"/>
      <c r="N40" s="189"/>
      <c r="O40" s="59"/>
      <c r="P40" s="59"/>
      <c r="Q40" s="59"/>
      <c r="R40" s="51"/>
      <c r="T40" s="222"/>
    </row>
    <row r="41" spans="2:20" ht="15" customHeight="1">
      <c r="B41" s="2"/>
      <c r="C41" s="183"/>
      <c r="D41" s="184" t="s">
        <v>114</v>
      </c>
      <c r="E41" s="185">
        <v>0</v>
      </c>
      <c r="F41" s="185">
        <v>160</v>
      </c>
      <c r="G41" s="223"/>
      <c r="H41" s="224"/>
      <c r="I41" s="224"/>
      <c r="J41" s="224"/>
      <c r="K41" s="224"/>
      <c r="L41" s="224"/>
      <c r="M41" s="224"/>
      <c r="N41" s="189"/>
      <c r="O41" s="59"/>
      <c r="P41" s="59"/>
      <c r="Q41" s="59"/>
      <c r="R41" s="51"/>
      <c r="T41" s="222"/>
    </row>
    <row r="42" spans="2:20" ht="15" customHeight="1">
      <c r="B42" s="2"/>
      <c r="C42" s="132" t="s">
        <v>117</v>
      </c>
      <c r="D42" s="133"/>
      <c r="E42" s="55">
        <v>0</v>
      </c>
      <c r="F42" s="55">
        <v>99652.600000000108</v>
      </c>
      <c r="G42" s="221"/>
      <c r="H42" s="34"/>
      <c r="I42" s="34"/>
      <c r="J42" s="34"/>
      <c r="K42" s="34"/>
      <c r="L42" s="34"/>
      <c r="M42" s="34"/>
      <c r="N42" s="134"/>
      <c r="R42" s="51"/>
      <c r="T42" s="222"/>
    </row>
    <row r="43" spans="2:20" ht="15" customHeight="1">
      <c r="B43" s="2"/>
      <c r="C43" s="183"/>
      <c r="D43" s="184" t="s">
        <v>118</v>
      </c>
      <c r="E43" s="185">
        <v>0</v>
      </c>
      <c r="F43" s="185">
        <v>55268.710000000101</v>
      </c>
      <c r="G43" s="223"/>
      <c r="H43" s="224"/>
      <c r="I43" s="224"/>
      <c r="J43" s="224"/>
      <c r="K43" s="224"/>
      <c r="L43" s="224"/>
      <c r="M43" s="224"/>
      <c r="N43" s="189"/>
      <c r="O43" s="59"/>
      <c r="P43" s="59"/>
      <c r="Q43" s="59"/>
      <c r="R43" s="51"/>
      <c r="T43" s="222"/>
    </row>
    <row r="44" spans="2:20" ht="15" customHeight="1">
      <c r="B44" s="2"/>
      <c r="C44" s="183"/>
      <c r="D44" s="184" t="s">
        <v>119</v>
      </c>
      <c r="E44" s="185">
        <v>0</v>
      </c>
      <c r="F44" s="185">
        <v>332.1</v>
      </c>
      <c r="G44" s="223"/>
      <c r="H44" s="224"/>
      <c r="I44" s="224"/>
      <c r="J44" s="224"/>
      <c r="K44" s="224"/>
      <c r="L44" s="224"/>
      <c r="M44" s="224"/>
      <c r="N44" s="189"/>
      <c r="O44" s="59"/>
      <c r="P44" s="59"/>
      <c r="Q44" s="59"/>
      <c r="R44" s="51"/>
      <c r="T44" s="222"/>
    </row>
    <row r="45" spans="2:20" ht="15" customHeight="1">
      <c r="B45" s="2"/>
      <c r="C45" s="183"/>
      <c r="D45" s="184" t="s">
        <v>121</v>
      </c>
      <c r="E45" s="185">
        <v>0</v>
      </c>
      <c r="F45" s="185">
        <v>9694.52</v>
      </c>
      <c r="G45" s="223"/>
      <c r="H45" s="224"/>
      <c r="I45" s="224"/>
      <c r="J45" s="224"/>
      <c r="K45" s="224"/>
      <c r="L45" s="224"/>
      <c r="M45" s="224"/>
      <c r="N45" s="189"/>
      <c r="O45" s="59"/>
      <c r="P45" s="59"/>
      <c r="Q45" s="59"/>
      <c r="R45" s="51"/>
      <c r="T45" s="222"/>
    </row>
    <row r="46" spans="2:20" ht="15" customHeight="1">
      <c r="B46" s="2"/>
      <c r="C46" s="183"/>
      <c r="D46" s="184" t="s">
        <v>123</v>
      </c>
      <c r="E46" s="185">
        <v>0</v>
      </c>
      <c r="F46" s="185">
        <v>356.91</v>
      </c>
      <c r="G46" s="223"/>
      <c r="H46" s="224"/>
      <c r="I46" s="224"/>
      <c r="J46" s="224"/>
      <c r="K46" s="224"/>
      <c r="L46" s="224"/>
      <c r="M46" s="224"/>
      <c r="N46" s="189"/>
      <c r="O46" s="59"/>
      <c r="P46" s="59"/>
      <c r="Q46" s="59"/>
      <c r="R46" s="51"/>
      <c r="T46" s="222"/>
    </row>
    <row r="47" spans="2:20" ht="15" customHeight="1">
      <c r="B47" s="2"/>
      <c r="C47" s="183"/>
      <c r="D47" s="184" t="s">
        <v>124</v>
      </c>
      <c r="E47" s="185">
        <v>0</v>
      </c>
      <c r="F47" s="185">
        <v>22025.97</v>
      </c>
      <c r="G47" s="223"/>
      <c r="H47" s="224"/>
      <c r="I47" s="224"/>
      <c r="J47" s="224"/>
      <c r="K47" s="224"/>
      <c r="L47" s="224"/>
      <c r="M47" s="224"/>
      <c r="N47" s="189"/>
      <c r="O47" s="59"/>
      <c r="P47" s="59"/>
      <c r="Q47" s="59"/>
      <c r="R47" s="51"/>
      <c r="T47" s="222"/>
    </row>
    <row r="48" spans="2:20" ht="15" customHeight="1">
      <c r="B48" s="2"/>
      <c r="C48" s="183"/>
      <c r="D48" s="184" t="s">
        <v>125</v>
      </c>
      <c r="E48" s="185">
        <v>0</v>
      </c>
      <c r="F48" s="185">
        <v>11612.05</v>
      </c>
      <c r="G48" s="223"/>
      <c r="H48" s="224"/>
      <c r="I48" s="224"/>
      <c r="J48" s="224"/>
      <c r="K48" s="224"/>
      <c r="L48" s="224"/>
      <c r="M48" s="224"/>
      <c r="N48" s="189"/>
      <c r="O48" s="59"/>
      <c r="P48" s="59"/>
      <c r="Q48" s="59"/>
      <c r="R48" s="51"/>
      <c r="T48" s="222"/>
    </row>
    <row r="49" spans="2:20" ht="15" customHeight="1">
      <c r="B49" s="2"/>
      <c r="C49" s="183"/>
      <c r="D49" s="184" t="s">
        <v>126</v>
      </c>
      <c r="E49" s="185">
        <v>0</v>
      </c>
      <c r="F49" s="185">
        <v>362.34</v>
      </c>
      <c r="G49" s="223"/>
      <c r="H49" s="224"/>
      <c r="I49" s="224"/>
      <c r="J49" s="224"/>
      <c r="K49" s="224"/>
      <c r="L49" s="224"/>
      <c r="M49" s="224"/>
      <c r="N49" s="189"/>
      <c r="O49" s="59"/>
      <c r="P49" s="59"/>
      <c r="Q49" s="59"/>
      <c r="R49" s="51"/>
      <c r="T49" s="222"/>
    </row>
    <row r="50" spans="2:20" ht="15" customHeight="1">
      <c r="B50" s="2"/>
      <c r="C50" s="132" t="s">
        <v>128</v>
      </c>
      <c r="D50" s="133"/>
      <c r="E50" s="55">
        <v>0</v>
      </c>
      <c r="F50" s="55">
        <v>13582.13</v>
      </c>
      <c r="G50" s="221"/>
      <c r="H50" s="34"/>
      <c r="I50" s="34"/>
      <c r="J50" s="34"/>
      <c r="K50" s="34"/>
      <c r="L50" s="34"/>
      <c r="M50" s="34"/>
      <c r="N50" s="134"/>
      <c r="R50" s="51"/>
      <c r="T50" s="222"/>
    </row>
    <row r="51" spans="2:20" ht="15" customHeight="1">
      <c r="B51" s="2"/>
      <c r="C51" s="183"/>
      <c r="D51" s="184" t="s">
        <v>129</v>
      </c>
      <c r="E51" s="185">
        <v>0</v>
      </c>
      <c r="F51" s="185">
        <v>13545</v>
      </c>
      <c r="G51" s="223"/>
      <c r="H51" s="224"/>
      <c r="I51" s="224"/>
      <c r="J51" s="224"/>
      <c r="K51" s="224"/>
      <c r="L51" s="224"/>
      <c r="M51" s="224"/>
      <c r="N51" s="189"/>
      <c r="O51" s="59"/>
      <c r="P51" s="59"/>
      <c r="Q51" s="59"/>
      <c r="R51" s="51"/>
      <c r="T51" s="222"/>
    </row>
    <row r="52" spans="2:20" ht="15" customHeight="1">
      <c r="B52" s="2"/>
      <c r="C52" s="183"/>
      <c r="D52" s="184" t="s">
        <v>130</v>
      </c>
      <c r="E52" s="185">
        <v>0</v>
      </c>
      <c r="F52" s="185">
        <v>37.130000000000003</v>
      </c>
      <c r="G52" s="223"/>
      <c r="H52" s="224"/>
      <c r="I52" s="224"/>
      <c r="J52" s="224"/>
      <c r="K52" s="224"/>
      <c r="L52" s="224"/>
      <c r="M52" s="224"/>
      <c r="N52" s="189"/>
      <c r="O52" s="59"/>
      <c r="P52" s="59"/>
      <c r="Q52" s="59"/>
      <c r="R52" s="51"/>
      <c r="T52" s="222"/>
    </row>
    <row r="53" spans="2:20" ht="15" customHeight="1">
      <c r="B53" s="2"/>
      <c r="C53" s="132" t="s">
        <v>131</v>
      </c>
      <c r="D53" s="133"/>
      <c r="E53" s="55">
        <v>0</v>
      </c>
      <c r="F53" s="55">
        <v>201533.56000000378</v>
      </c>
      <c r="G53" s="221"/>
      <c r="H53" s="34"/>
      <c r="I53" s="34"/>
      <c r="J53" s="34"/>
      <c r="K53" s="34"/>
      <c r="L53" s="34"/>
      <c r="M53" s="34"/>
      <c r="N53" s="134"/>
      <c r="R53" s="51"/>
      <c r="T53" s="222"/>
    </row>
    <row r="54" spans="2:20" ht="15" customHeight="1">
      <c r="B54" s="2"/>
      <c r="C54" s="183"/>
      <c r="D54" s="184" t="s">
        <v>132</v>
      </c>
      <c r="E54" s="185">
        <v>0</v>
      </c>
      <c r="F54" s="185">
        <v>19405.3300000001</v>
      </c>
      <c r="G54" s="223"/>
      <c r="H54" s="224"/>
      <c r="I54" s="224"/>
      <c r="J54" s="224"/>
      <c r="K54" s="224"/>
      <c r="L54" s="224"/>
      <c r="M54" s="224"/>
      <c r="N54" s="189"/>
      <c r="O54" s="59"/>
      <c r="P54" s="59"/>
      <c r="Q54" s="59"/>
      <c r="R54" s="51"/>
      <c r="T54" s="222"/>
    </row>
    <row r="55" spans="2:20" ht="15" customHeight="1">
      <c r="B55" s="2"/>
      <c r="C55" s="183"/>
      <c r="D55" s="184" t="s">
        <v>84</v>
      </c>
      <c r="E55" s="185">
        <v>0</v>
      </c>
      <c r="F55" s="185">
        <v>1126.3</v>
      </c>
      <c r="G55" s="223"/>
      <c r="H55" s="224"/>
      <c r="I55" s="224"/>
      <c r="J55" s="224"/>
      <c r="K55" s="224"/>
      <c r="L55" s="224"/>
      <c r="M55" s="224"/>
      <c r="N55" s="189"/>
      <c r="O55" s="59"/>
      <c r="P55" s="59"/>
      <c r="Q55" s="59"/>
      <c r="R55" s="51"/>
      <c r="T55" s="222"/>
    </row>
    <row r="56" spans="2:20" ht="15" customHeight="1">
      <c r="B56" s="2"/>
      <c r="C56" s="183"/>
      <c r="D56" s="184" t="s">
        <v>133</v>
      </c>
      <c r="E56" s="185">
        <v>0</v>
      </c>
      <c r="F56" s="185">
        <v>31660.810000000401</v>
      </c>
      <c r="G56" s="223"/>
      <c r="H56" s="224"/>
      <c r="I56" s="224"/>
      <c r="J56" s="224"/>
      <c r="K56" s="224"/>
      <c r="L56" s="224"/>
      <c r="M56" s="224"/>
      <c r="N56" s="189"/>
      <c r="O56" s="59"/>
      <c r="P56" s="59"/>
      <c r="Q56" s="59"/>
      <c r="R56" s="51"/>
      <c r="T56" s="222"/>
    </row>
    <row r="57" spans="2:20" ht="15" customHeight="1">
      <c r="B57" s="2"/>
      <c r="C57" s="183"/>
      <c r="D57" s="184" t="s">
        <v>134</v>
      </c>
      <c r="E57" s="185">
        <v>0</v>
      </c>
      <c r="F57" s="185">
        <v>79834.979999999501</v>
      </c>
      <c r="G57" s="223"/>
      <c r="H57" s="224"/>
      <c r="I57" s="224"/>
      <c r="J57" s="224"/>
      <c r="K57" s="224"/>
      <c r="L57" s="224"/>
      <c r="M57" s="224"/>
      <c r="N57" s="189"/>
      <c r="O57" s="59"/>
      <c r="P57" s="59"/>
      <c r="Q57" s="59"/>
      <c r="R57" s="51"/>
      <c r="T57" s="222"/>
    </row>
    <row r="58" spans="2:20" ht="15" customHeight="1">
      <c r="B58" s="2"/>
      <c r="C58" s="183"/>
      <c r="D58" s="184" t="s">
        <v>135</v>
      </c>
      <c r="E58" s="185">
        <v>0</v>
      </c>
      <c r="F58" s="185">
        <v>15686.55</v>
      </c>
      <c r="G58" s="223"/>
      <c r="H58" s="224"/>
      <c r="I58" s="224"/>
      <c r="J58" s="224"/>
      <c r="K58" s="224"/>
      <c r="L58" s="224"/>
      <c r="M58" s="224"/>
      <c r="N58" s="189"/>
      <c r="O58" s="59"/>
      <c r="P58" s="59"/>
      <c r="Q58" s="59"/>
      <c r="R58" s="51"/>
      <c r="T58" s="222"/>
    </row>
    <row r="59" spans="2:20" ht="15" customHeight="1">
      <c r="B59" s="2"/>
      <c r="C59" s="183"/>
      <c r="D59" s="184" t="s">
        <v>136</v>
      </c>
      <c r="E59" s="185">
        <v>0</v>
      </c>
      <c r="F59" s="185">
        <v>53583.410000003802</v>
      </c>
      <c r="G59" s="223"/>
      <c r="H59" s="224"/>
      <c r="I59" s="224"/>
      <c r="J59" s="224"/>
      <c r="K59" s="224"/>
      <c r="L59" s="224"/>
      <c r="M59" s="224"/>
      <c r="N59" s="189"/>
      <c r="O59" s="59"/>
      <c r="P59" s="59"/>
      <c r="Q59" s="59"/>
      <c r="R59" s="51"/>
      <c r="T59" s="222"/>
    </row>
    <row r="60" spans="2:20" ht="15" customHeight="1">
      <c r="B60" s="2"/>
      <c r="C60" s="183"/>
      <c r="D60" s="184" t="s">
        <v>137</v>
      </c>
      <c r="E60" s="185">
        <v>0</v>
      </c>
      <c r="F60" s="185">
        <v>236.18</v>
      </c>
      <c r="G60" s="223"/>
      <c r="H60" s="224"/>
      <c r="I60" s="224"/>
      <c r="J60" s="224"/>
      <c r="K60" s="224"/>
      <c r="L60" s="224"/>
      <c r="M60" s="224"/>
      <c r="N60" s="189"/>
      <c r="O60" s="59"/>
      <c r="P60" s="59"/>
      <c r="Q60" s="59"/>
      <c r="R60" s="51"/>
      <c r="T60" s="222"/>
    </row>
    <row r="61" spans="2:20" ht="15" customHeight="1">
      <c r="B61" s="2"/>
      <c r="C61" s="135" t="s">
        <v>46</v>
      </c>
      <c r="D61" s="136"/>
      <c r="E61" s="225">
        <v>0</v>
      </c>
      <c r="F61" s="225">
        <v>488082.11000000389</v>
      </c>
      <c r="G61" s="226"/>
      <c r="H61" s="34"/>
      <c r="I61" s="34"/>
      <c r="J61" s="34"/>
      <c r="K61" s="34"/>
      <c r="L61" s="34"/>
      <c r="M61" s="34"/>
      <c r="N61" s="134"/>
      <c r="R61" s="51"/>
    </row>
    <row r="62" spans="2:20" ht="15" customHeight="1">
      <c r="B62" s="2"/>
      <c r="C62" s="1"/>
      <c r="D62" s="13"/>
      <c r="E62" s="227"/>
      <c r="F62" s="13"/>
      <c r="G62" s="227"/>
      <c r="H62" s="34"/>
      <c r="I62" s="34"/>
      <c r="J62" s="34"/>
      <c r="K62" s="34"/>
      <c r="L62" s="34"/>
      <c r="M62" s="34"/>
      <c r="N62" s="13"/>
      <c r="O62" s="13"/>
      <c r="P62" s="13"/>
      <c r="Q62" s="13"/>
      <c r="R62" s="51"/>
    </row>
    <row r="63" spans="2:20" ht="15" customHeight="1">
      <c r="B63" s="2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3"/>
      <c r="Q63" s="13"/>
      <c r="R63" s="51"/>
    </row>
    <row r="64" spans="2:20" ht="12" customHeight="1">
      <c r="B64" s="3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8"/>
      <c r="Q64" s="138"/>
      <c r="R64" s="52"/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  <pageSetUpPr fitToPage="1"/>
  </sheetPr>
  <dimension ref="A1:V83"/>
  <sheetViews>
    <sheetView showGridLines="0" topLeftCell="A32" zoomScale="70" zoomScaleNormal="70" workbookViewId="0">
      <selection activeCell="A66" sqref="A66:XFD66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6" width="14.28515625" customWidth="1"/>
    <col min="7" max="12" width="16.28515625" customWidth="1"/>
    <col min="13" max="13" width="10.7109375" customWidth="1"/>
    <col min="14" max="14" width="1.42578125" customWidth="1"/>
    <col min="15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2:22" ht="15" customHeight="1">
      <c r="B3" s="2"/>
      <c r="R3" s="51"/>
    </row>
    <row r="4" spans="2:22" ht="15" customHeight="1">
      <c r="B4" s="2"/>
      <c r="R4" s="51"/>
    </row>
    <row r="5" spans="2:22" ht="15" customHeight="1">
      <c r="B5" s="2"/>
      <c r="R5" s="51"/>
    </row>
    <row r="6" spans="2:22" ht="15" customHeight="1">
      <c r="B6" s="2"/>
      <c r="R6" s="51"/>
    </row>
    <row r="7" spans="2:22" ht="15" hidden="1" customHeight="1">
      <c r="B7" s="2"/>
      <c r="R7" s="51"/>
    </row>
    <row r="8" spans="2:22" ht="60" customHeight="1">
      <c r="B8" s="2"/>
      <c r="C8" s="238" t="str">
        <f>'[1]Page de garde'!C13&amp;" : Détail des Prestations Réglées - Synthèse par famille d'actes"</f>
        <v>KERIALIS_ : Détail des Prestations Réglées - Synthèse par famille d'actes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40"/>
      <c r="R8" s="51"/>
    </row>
    <row r="9" spans="2:22">
      <c r="B9" s="2"/>
      <c r="R9" s="51"/>
    </row>
    <row r="10" spans="2:22">
      <c r="B10" s="2"/>
      <c r="R10" s="51"/>
    </row>
    <row r="11" spans="2:22">
      <c r="B11" s="2"/>
      <c r="R11" s="51"/>
    </row>
    <row r="12" spans="2:22">
      <c r="B12" s="2"/>
      <c r="C12" s="34"/>
      <c r="D12" s="34"/>
      <c r="E12" s="254" t="s">
        <v>152</v>
      </c>
      <c r="F12" s="255"/>
      <c r="G12" s="255"/>
      <c r="H12" s="255"/>
      <c r="I12" s="255"/>
      <c r="J12" s="255"/>
      <c r="K12" s="255"/>
      <c r="L12" s="255"/>
      <c r="M12" s="256"/>
      <c r="N12" s="32"/>
      <c r="O12" s="254" t="s">
        <v>73</v>
      </c>
      <c r="P12" s="255"/>
      <c r="Q12" s="256"/>
      <c r="R12" s="51"/>
    </row>
    <row r="13" spans="2:22">
      <c r="B13" s="2"/>
      <c r="C13" s="34"/>
      <c r="D13" s="34"/>
      <c r="E13" s="34"/>
      <c r="F13" s="34"/>
      <c r="G13" s="34"/>
      <c r="H13" s="34"/>
      <c r="I13" s="34"/>
      <c r="J13" s="181" t="s">
        <v>153</v>
      </c>
      <c r="K13" s="34"/>
      <c r="L13" s="34"/>
      <c r="M13" s="34"/>
      <c r="N13" s="32"/>
      <c r="O13" s="34"/>
      <c r="P13" s="181" t="s">
        <v>154</v>
      </c>
      <c r="Q13" s="181" t="s">
        <v>155</v>
      </c>
      <c r="R13" s="51"/>
    </row>
    <row r="14" spans="2:22" ht="45" customHeight="1">
      <c r="B14" s="2"/>
      <c r="C14" s="34"/>
      <c r="D14" s="34"/>
      <c r="E14" s="121" t="s">
        <v>74</v>
      </c>
      <c r="F14" s="121" t="s">
        <v>75</v>
      </c>
      <c r="G14" s="121" t="s">
        <v>156</v>
      </c>
      <c r="H14" s="121" t="s">
        <v>157</v>
      </c>
      <c r="I14" s="121" t="s">
        <v>158</v>
      </c>
      <c r="J14" s="121" t="s">
        <v>159</v>
      </c>
      <c r="K14" s="169" t="s">
        <v>160</v>
      </c>
      <c r="L14" s="169" t="s">
        <v>161</v>
      </c>
      <c r="M14" s="123"/>
      <c r="N14" s="32"/>
      <c r="O14" s="121" t="s">
        <v>156</v>
      </c>
      <c r="P14" s="142" t="s">
        <v>162</v>
      </c>
      <c r="Q14" s="182" t="s">
        <v>163</v>
      </c>
      <c r="R14" s="51"/>
    </row>
    <row r="15" spans="2:22" ht="15" customHeight="1">
      <c r="B15" s="2"/>
      <c r="C15" s="132" t="s">
        <v>83</v>
      </c>
      <c r="D15" s="133"/>
      <c r="E15" s="55">
        <v>1023</v>
      </c>
      <c r="F15" s="66"/>
      <c r="G15" s="228">
        <v>42.634809384164228</v>
      </c>
      <c r="H15" s="228">
        <v>1.61</v>
      </c>
      <c r="I15" s="228">
        <v>1350</v>
      </c>
      <c r="J15" s="228">
        <v>12.971945259042032</v>
      </c>
      <c r="K15" s="228">
        <v>0.25</v>
      </c>
      <c r="L15" s="228">
        <v>200</v>
      </c>
      <c r="M15" s="57"/>
      <c r="N15" s="134"/>
      <c r="O15" s="228">
        <v>53.847920140412455</v>
      </c>
      <c r="P15" s="228">
        <v>22.551906537955251</v>
      </c>
      <c r="Q15" s="229">
        <v>-0.42479791059733329</v>
      </c>
      <c r="R15" s="51"/>
      <c r="T15" s="222"/>
    </row>
    <row r="16" spans="2:22" ht="15" customHeight="1">
      <c r="B16" s="2"/>
      <c r="C16" s="183"/>
      <c r="D16" s="184" t="s">
        <v>84</v>
      </c>
      <c r="E16" s="185">
        <v>1021</v>
      </c>
      <c r="F16" s="186"/>
      <c r="G16" s="230">
        <v>40.073858961802159</v>
      </c>
      <c r="H16" s="230">
        <v>1.61</v>
      </c>
      <c r="I16" s="230">
        <v>459</v>
      </c>
      <c r="J16" s="230">
        <v>12.60558276199804</v>
      </c>
      <c r="K16" s="230">
        <v>0.25</v>
      </c>
      <c r="L16" s="230">
        <v>183.6</v>
      </c>
      <c r="M16" s="188"/>
      <c r="N16" s="189"/>
      <c r="O16" s="230">
        <v>38.112628032345</v>
      </c>
      <c r="P16" s="230">
        <v>14.469898921832893</v>
      </c>
      <c r="Q16" s="231">
        <v>-0.12883986758719823</v>
      </c>
      <c r="R16" s="51"/>
      <c r="T16" s="222"/>
    </row>
    <row r="17" spans="2:20" ht="15" customHeight="1">
      <c r="B17" s="2"/>
      <c r="C17" s="183"/>
      <c r="D17" s="184" t="s">
        <v>85</v>
      </c>
      <c r="E17" s="185">
        <v>0</v>
      </c>
      <c r="F17" s="186"/>
      <c r="G17" s="230"/>
      <c r="H17" s="230">
        <v>0</v>
      </c>
      <c r="I17" s="230">
        <v>0</v>
      </c>
      <c r="J17" s="230">
        <v>0</v>
      </c>
      <c r="K17" s="230">
        <v>0</v>
      </c>
      <c r="L17" s="230">
        <v>0</v>
      </c>
      <c r="M17" s="188"/>
      <c r="N17" s="189"/>
      <c r="O17" s="230">
        <v>6.114285714285713</v>
      </c>
      <c r="P17" s="230">
        <v>2.3499999999999974</v>
      </c>
      <c r="Q17" s="231">
        <v>-1</v>
      </c>
      <c r="R17" s="51"/>
      <c r="T17" s="222"/>
    </row>
    <row r="18" spans="2:20" ht="15" customHeight="1">
      <c r="B18" s="2"/>
      <c r="C18" s="183"/>
      <c r="D18" s="184" t="s">
        <v>86</v>
      </c>
      <c r="E18" s="185">
        <v>0</v>
      </c>
      <c r="F18" s="186"/>
      <c r="G18" s="230"/>
      <c r="H18" s="230">
        <v>0</v>
      </c>
      <c r="I18" s="230">
        <v>0</v>
      </c>
      <c r="J18" s="230">
        <v>0</v>
      </c>
      <c r="K18" s="230">
        <v>0</v>
      </c>
      <c r="L18" s="230">
        <v>0</v>
      </c>
      <c r="M18" s="188"/>
      <c r="N18" s="189"/>
      <c r="O18" s="230">
        <v>950</v>
      </c>
      <c r="P18" s="230">
        <v>710</v>
      </c>
      <c r="Q18" s="231">
        <v>-1</v>
      </c>
      <c r="R18" s="51"/>
      <c r="T18" s="222"/>
    </row>
    <row r="19" spans="2:20" ht="15" customHeight="1">
      <c r="B19" s="2"/>
      <c r="C19" s="183"/>
      <c r="D19" s="184" t="s">
        <v>87</v>
      </c>
      <c r="E19" s="185">
        <v>1</v>
      </c>
      <c r="F19" s="186"/>
      <c r="G19" s="230">
        <v>1350</v>
      </c>
      <c r="H19" s="230">
        <v>1350</v>
      </c>
      <c r="I19" s="230">
        <v>1350</v>
      </c>
      <c r="J19" s="230">
        <v>200</v>
      </c>
      <c r="K19" s="230">
        <v>200</v>
      </c>
      <c r="L19" s="230">
        <v>200</v>
      </c>
      <c r="M19" s="188"/>
      <c r="N19" s="189"/>
      <c r="O19" s="230">
        <v>1565.8181818181818</v>
      </c>
      <c r="P19" s="230">
        <v>818.18181818181813</v>
      </c>
      <c r="Q19" s="231">
        <v>-0.75555555012345665</v>
      </c>
      <c r="R19" s="51"/>
      <c r="T19" s="222"/>
    </row>
    <row r="20" spans="2:20" ht="15" customHeight="1">
      <c r="B20" s="2"/>
      <c r="C20" s="183"/>
      <c r="D20" s="184" t="s">
        <v>88</v>
      </c>
      <c r="E20" s="185">
        <v>1</v>
      </c>
      <c r="F20" s="186"/>
      <c r="G20" s="230">
        <v>1350</v>
      </c>
      <c r="H20" s="230">
        <v>1350</v>
      </c>
      <c r="I20" s="230">
        <v>1350</v>
      </c>
      <c r="J20" s="230">
        <v>200</v>
      </c>
      <c r="K20" s="230">
        <v>200</v>
      </c>
      <c r="L20" s="230">
        <v>200</v>
      </c>
      <c r="M20" s="188"/>
      <c r="N20" s="189"/>
      <c r="O20" s="230">
        <v>1575</v>
      </c>
      <c r="P20" s="230">
        <v>863.07692307692309</v>
      </c>
      <c r="Q20" s="231">
        <v>-0.76827093854556883</v>
      </c>
      <c r="R20" s="51"/>
      <c r="T20" s="222"/>
    </row>
    <row r="21" spans="2:20" ht="15" customHeight="1">
      <c r="B21" s="2"/>
      <c r="C21" s="183"/>
      <c r="D21" s="184" t="s">
        <v>89</v>
      </c>
      <c r="E21" s="185">
        <v>0</v>
      </c>
      <c r="F21" s="186"/>
      <c r="G21" s="230"/>
      <c r="H21" s="230">
        <v>0</v>
      </c>
      <c r="I21" s="230">
        <v>0</v>
      </c>
      <c r="J21" s="230">
        <v>0</v>
      </c>
      <c r="K21" s="230">
        <v>0</v>
      </c>
      <c r="L21" s="230">
        <v>0</v>
      </c>
      <c r="M21" s="188"/>
      <c r="N21" s="189"/>
      <c r="O21" s="230">
        <v>1470.8</v>
      </c>
      <c r="P21" s="230">
        <v>692.4</v>
      </c>
      <c r="Q21" s="231">
        <v>-1</v>
      </c>
      <c r="R21" s="51"/>
      <c r="T21" s="222"/>
    </row>
    <row r="22" spans="2:20" ht="15" customHeight="1">
      <c r="B22" s="2"/>
      <c r="C22" s="132" t="s">
        <v>90</v>
      </c>
      <c r="D22" s="133"/>
      <c r="E22" s="55">
        <v>6</v>
      </c>
      <c r="F22" s="66"/>
      <c r="G22" s="228">
        <v>906.05666666666673</v>
      </c>
      <c r="H22" s="228">
        <v>60</v>
      </c>
      <c r="I22" s="228">
        <v>2678.05</v>
      </c>
      <c r="J22" s="228">
        <v>906.05666666666673</v>
      </c>
      <c r="K22" s="228">
        <v>60</v>
      </c>
      <c r="L22" s="228">
        <v>2678.05</v>
      </c>
      <c r="M22" s="57"/>
      <c r="N22" s="134"/>
      <c r="O22" s="228">
        <v>128.76660714285714</v>
      </c>
      <c r="P22" s="228">
        <v>126.90946428571429</v>
      </c>
      <c r="Q22" s="229">
        <v>6.1393922440794428</v>
      </c>
      <c r="R22" s="51"/>
      <c r="T22" s="222"/>
    </row>
    <row r="23" spans="2:20" ht="15" customHeight="1">
      <c r="B23" s="2"/>
      <c r="C23" s="183"/>
      <c r="D23" s="184" t="s">
        <v>91</v>
      </c>
      <c r="E23" s="185">
        <v>0</v>
      </c>
      <c r="F23" s="186"/>
      <c r="G23" s="230"/>
      <c r="H23" s="230">
        <v>0</v>
      </c>
      <c r="I23" s="230">
        <v>0</v>
      </c>
      <c r="J23" s="230">
        <v>0</v>
      </c>
      <c r="K23" s="230">
        <v>0</v>
      </c>
      <c r="L23" s="230">
        <v>0</v>
      </c>
      <c r="M23" s="188"/>
      <c r="N23" s="189"/>
      <c r="O23" s="230">
        <v>35</v>
      </c>
      <c r="P23" s="230">
        <v>7</v>
      </c>
      <c r="Q23" s="231">
        <v>-1</v>
      </c>
      <c r="R23" s="51"/>
      <c r="T23" s="222"/>
    </row>
    <row r="24" spans="2:20" ht="15" customHeight="1">
      <c r="B24" s="2"/>
      <c r="C24" s="183"/>
      <c r="D24" s="184" t="s">
        <v>92</v>
      </c>
      <c r="E24" s="185">
        <v>4</v>
      </c>
      <c r="F24" s="186"/>
      <c r="G24" s="230">
        <v>60</v>
      </c>
      <c r="H24" s="230">
        <v>60</v>
      </c>
      <c r="I24" s="230">
        <v>60</v>
      </c>
      <c r="J24" s="230">
        <v>60</v>
      </c>
      <c r="K24" s="230">
        <v>60</v>
      </c>
      <c r="L24" s="230">
        <v>60</v>
      </c>
      <c r="M24" s="188"/>
      <c r="N24" s="189"/>
      <c r="O24" s="230">
        <v>56.291262135922331</v>
      </c>
      <c r="P24" s="230">
        <v>54.815533980582522</v>
      </c>
      <c r="Q24" s="231">
        <v>9.4580912333190437E-2</v>
      </c>
      <c r="R24" s="51"/>
      <c r="T24" s="222"/>
    </row>
    <row r="25" spans="2:20" ht="15" customHeight="1">
      <c r="B25" s="2"/>
      <c r="C25" s="183"/>
      <c r="D25" s="184" t="s">
        <v>93</v>
      </c>
      <c r="E25" s="185">
        <v>0</v>
      </c>
      <c r="F25" s="186"/>
      <c r="G25" s="230"/>
      <c r="H25" s="230">
        <v>0</v>
      </c>
      <c r="I25" s="230">
        <v>0</v>
      </c>
      <c r="J25" s="230">
        <v>0</v>
      </c>
      <c r="K25" s="230">
        <v>0</v>
      </c>
      <c r="L25" s="230">
        <v>0</v>
      </c>
      <c r="M25" s="188"/>
      <c r="N25" s="189"/>
      <c r="O25" s="230">
        <v>-7.29</v>
      </c>
      <c r="P25" s="230">
        <v>-7.29</v>
      </c>
      <c r="Q25" s="231">
        <v>-1</v>
      </c>
      <c r="R25" s="51"/>
      <c r="T25" s="222"/>
    </row>
    <row r="26" spans="2:20" ht="15" customHeight="1">
      <c r="B26" s="2"/>
      <c r="C26" s="183"/>
      <c r="D26" s="184" t="s">
        <v>94</v>
      </c>
      <c r="E26" s="185">
        <v>2</v>
      </c>
      <c r="F26" s="186"/>
      <c r="G26" s="230">
        <v>2598.17</v>
      </c>
      <c r="H26" s="230">
        <v>2518.29</v>
      </c>
      <c r="I26" s="230">
        <v>2678.05</v>
      </c>
      <c r="J26" s="230">
        <v>2598.17</v>
      </c>
      <c r="K26" s="230">
        <v>2518.29</v>
      </c>
      <c r="L26" s="230">
        <v>2678.05</v>
      </c>
      <c r="M26" s="188"/>
      <c r="N26" s="189"/>
      <c r="O26" s="230">
        <v>1426.8583333333336</v>
      </c>
      <c r="P26" s="230">
        <v>1426.8583333333336</v>
      </c>
      <c r="Q26" s="231">
        <v>0.82090260819872585</v>
      </c>
      <c r="R26" s="51"/>
      <c r="T26" s="222"/>
    </row>
    <row r="27" spans="2:20" ht="15" customHeight="1">
      <c r="B27" s="2"/>
      <c r="C27" s="132" t="s">
        <v>95</v>
      </c>
      <c r="D27" s="133"/>
      <c r="E27" s="55">
        <v>9</v>
      </c>
      <c r="F27" s="66"/>
      <c r="G27" s="228">
        <v>124.99000000000001</v>
      </c>
      <c r="H27" s="228">
        <v>60</v>
      </c>
      <c r="I27" s="228">
        <v>644.91</v>
      </c>
      <c r="J27" s="228">
        <v>35.191111111111113</v>
      </c>
      <c r="K27" s="228">
        <v>7.5</v>
      </c>
      <c r="L27" s="228">
        <v>221.72</v>
      </c>
      <c r="M27" s="57"/>
      <c r="N27" s="134"/>
      <c r="O27" s="228">
        <v>137.91918367346938</v>
      </c>
      <c r="P27" s="228">
        <v>43.244387755102039</v>
      </c>
      <c r="Q27" s="229">
        <v>-0.18622758091221059</v>
      </c>
      <c r="R27" s="51"/>
      <c r="T27" s="222"/>
    </row>
    <row r="28" spans="2:20" ht="15" customHeight="1">
      <c r="B28" s="2"/>
      <c r="C28" s="183"/>
      <c r="D28" s="184" t="s">
        <v>96</v>
      </c>
      <c r="E28" s="185">
        <v>9</v>
      </c>
      <c r="F28" s="186"/>
      <c r="G28" s="230">
        <v>124.99000000000001</v>
      </c>
      <c r="H28" s="230">
        <v>60</v>
      </c>
      <c r="I28" s="230">
        <v>644.91</v>
      </c>
      <c r="J28" s="230">
        <v>35.191111111111113</v>
      </c>
      <c r="K28" s="230">
        <v>7.5</v>
      </c>
      <c r="L28" s="230">
        <v>221.72</v>
      </c>
      <c r="M28" s="188"/>
      <c r="N28" s="189"/>
      <c r="O28" s="230">
        <v>137.91918367346938</v>
      </c>
      <c r="P28" s="230">
        <v>43.244387755102039</v>
      </c>
      <c r="Q28" s="231">
        <v>-0.18622758091221059</v>
      </c>
      <c r="R28" s="51"/>
      <c r="T28" s="222"/>
    </row>
    <row r="29" spans="2:20" ht="15" customHeight="1">
      <c r="B29" s="2"/>
      <c r="C29" s="132" t="s">
        <v>97</v>
      </c>
      <c r="D29" s="133"/>
      <c r="E29" s="55">
        <v>1798</v>
      </c>
      <c r="F29" s="66"/>
      <c r="G29" s="228">
        <v>152.6425250278086</v>
      </c>
      <c r="H29" s="228">
        <v>7.98</v>
      </c>
      <c r="I29" s="228">
        <v>2200</v>
      </c>
      <c r="J29" s="228">
        <v>60.762497219132356</v>
      </c>
      <c r="K29" s="228">
        <v>0.08</v>
      </c>
      <c r="L29" s="228">
        <v>1944.15</v>
      </c>
      <c r="M29" s="57"/>
      <c r="N29" s="134"/>
      <c r="O29" s="228">
        <v>145.31101121656587</v>
      </c>
      <c r="P29" s="228">
        <v>73.117336496980073</v>
      </c>
      <c r="Q29" s="229">
        <v>-0.16897232255567418</v>
      </c>
      <c r="R29" s="51"/>
      <c r="T29" s="222"/>
    </row>
    <row r="30" spans="2:20" ht="15" customHeight="1">
      <c r="B30" s="2"/>
      <c r="C30" s="183"/>
      <c r="D30" s="184" t="s">
        <v>98</v>
      </c>
      <c r="E30" s="185">
        <v>579</v>
      </c>
      <c r="F30" s="186"/>
      <c r="G30" s="230">
        <v>22.028151986183072</v>
      </c>
      <c r="H30" s="230">
        <v>14.46</v>
      </c>
      <c r="I30" s="230">
        <v>95</v>
      </c>
      <c r="J30" s="230">
        <v>6.5195854922279626</v>
      </c>
      <c r="K30" s="230">
        <v>0.08</v>
      </c>
      <c r="L30" s="230">
        <v>25.7</v>
      </c>
      <c r="M30" s="188"/>
      <c r="N30" s="189"/>
      <c r="O30" s="230">
        <v>22.161387394311845</v>
      </c>
      <c r="P30" s="230">
        <v>6.7525749423520676</v>
      </c>
      <c r="Q30" s="231">
        <v>-3.4505227616029477E-2</v>
      </c>
      <c r="R30" s="51"/>
      <c r="T30" s="222"/>
    </row>
    <row r="31" spans="2:20" ht="15" customHeight="1">
      <c r="B31" s="2"/>
      <c r="C31" s="183"/>
      <c r="D31" s="184" t="s">
        <v>99</v>
      </c>
      <c r="E31" s="185">
        <v>104</v>
      </c>
      <c r="F31" s="186"/>
      <c r="G31" s="230">
        <v>504.45432692307691</v>
      </c>
      <c r="H31" s="230">
        <v>21.5</v>
      </c>
      <c r="I31" s="230">
        <v>1100</v>
      </c>
      <c r="J31" s="230">
        <v>141.34903846153844</v>
      </c>
      <c r="K31" s="230">
        <v>1.62</v>
      </c>
      <c r="L31" s="230">
        <v>446.5</v>
      </c>
      <c r="M31" s="188"/>
      <c r="N31" s="189"/>
      <c r="O31" s="230">
        <v>438.81686679174493</v>
      </c>
      <c r="P31" s="230">
        <v>206.49341463414632</v>
      </c>
      <c r="Q31" s="231">
        <v>-0.31547933251135396</v>
      </c>
      <c r="R31" s="51"/>
      <c r="T31" s="222"/>
    </row>
    <row r="32" spans="2:20" ht="15" customHeight="1">
      <c r="B32" s="2"/>
      <c r="C32" s="183"/>
      <c r="D32" s="184" t="s">
        <v>100</v>
      </c>
      <c r="E32" s="185">
        <v>28</v>
      </c>
      <c r="F32" s="186"/>
      <c r="G32" s="230">
        <v>99.670714285714297</v>
      </c>
      <c r="H32" s="230">
        <v>31.62</v>
      </c>
      <c r="I32" s="230">
        <v>750</v>
      </c>
      <c r="J32" s="230">
        <v>32.117142857142859</v>
      </c>
      <c r="K32" s="230">
        <v>8.1999999999999993</v>
      </c>
      <c r="L32" s="230">
        <v>50</v>
      </c>
      <c r="M32" s="188"/>
      <c r="N32" s="189"/>
      <c r="O32" s="230">
        <v>125.15170212765958</v>
      </c>
      <c r="P32" s="230">
        <v>62.125390070921988</v>
      </c>
      <c r="Q32" s="231">
        <v>-0.48302787587685547</v>
      </c>
      <c r="R32" s="51"/>
      <c r="T32" s="222"/>
    </row>
    <row r="33" spans="2:20" ht="15" customHeight="1">
      <c r="B33" s="2"/>
      <c r="C33" s="183"/>
      <c r="D33" s="184" t="s">
        <v>101</v>
      </c>
      <c r="E33" s="185">
        <v>481</v>
      </c>
      <c r="F33" s="186"/>
      <c r="G33" s="230">
        <v>191.00931392931392</v>
      </c>
      <c r="H33" s="230">
        <v>7.98</v>
      </c>
      <c r="I33" s="230">
        <v>2200</v>
      </c>
      <c r="J33" s="230">
        <v>127.06054054054054</v>
      </c>
      <c r="K33" s="230">
        <v>2.17</v>
      </c>
      <c r="L33" s="230">
        <v>1944.15</v>
      </c>
      <c r="M33" s="188"/>
      <c r="N33" s="189"/>
      <c r="O33" s="230">
        <v>143.9929403660696</v>
      </c>
      <c r="P33" s="230">
        <v>85.589691005707365</v>
      </c>
      <c r="Q33" s="231">
        <v>0.48453026473979954</v>
      </c>
      <c r="R33" s="51"/>
      <c r="T33" s="222"/>
    </row>
    <row r="34" spans="2:20" ht="15" customHeight="1">
      <c r="B34" s="2"/>
      <c r="C34" s="183"/>
      <c r="D34" s="184" t="s">
        <v>102</v>
      </c>
      <c r="E34" s="185">
        <v>96</v>
      </c>
      <c r="F34" s="186"/>
      <c r="G34" s="230">
        <v>549.40104166666663</v>
      </c>
      <c r="H34" s="230">
        <v>60</v>
      </c>
      <c r="I34" s="230">
        <v>1950</v>
      </c>
      <c r="J34" s="230">
        <v>132.91208333333333</v>
      </c>
      <c r="K34" s="230">
        <v>7.5</v>
      </c>
      <c r="L34" s="230">
        <v>600</v>
      </c>
      <c r="M34" s="188"/>
      <c r="N34" s="189"/>
      <c r="O34" s="230">
        <v>522.85493827160496</v>
      </c>
      <c r="P34" s="230">
        <v>229.56749559082891</v>
      </c>
      <c r="Q34" s="231">
        <v>-0.42103259389939773</v>
      </c>
      <c r="R34" s="51"/>
      <c r="T34" s="222"/>
    </row>
    <row r="35" spans="2:20" ht="15" customHeight="1">
      <c r="B35" s="2"/>
      <c r="C35" s="183"/>
      <c r="D35" s="184" t="s">
        <v>103</v>
      </c>
      <c r="E35" s="185">
        <v>65</v>
      </c>
      <c r="F35" s="186"/>
      <c r="G35" s="230">
        <v>557.47692307692307</v>
      </c>
      <c r="H35" s="230">
        <v>150</v>
      </c>
      <c r="I35" s="230">
        <v>1875</v>
      </c>
      <c r="J35" s="230">
        <v>133.45953846153847</v>
      </c>
      <c r="K35" s="230">
        <v>30</v>
      </c>
      <c r="L35" s="230">
        <v>642.85</v>
      </c>
      <c r="M35" s="188"/>
      <c r="N35" s="189"/>
      <c r="O35" s="230">
        <v>468.99671945701357</v>
      </c>
      <c r="P35" s="230">
        <v>222.93927601809952</v>
      </c>
      <c r="Q35" s="231">
        <v>-0.40136395870983721</v>
      </c>
      <c r="R35" s="51"/>
      <c r="T35" s="222"/>
    </row>
    <row r="36" spans="2:20" ht="15" customHeight="1">
      <c r="B36" s="2"/>
      <c r="C36" s="183"/>
      <c r="D36" s="184" t="s">
        <v>104</v>
      </c>
      <c r="E36" s="185">
        <v>445</v>
      </c>
      <c r="F36" s="186"/>
      <c r="G36" s="230">
        <v>57.503258426966063</v>
      </c>
      <c r="H36" s="230">
        <v>17.600000000000001</v>
      </c>
      <c r="I36" s="230">
        <v>650</v>
      </c>
      <c r="J36" s="230">
        <v>16.462921348314563</v>
      </c>
      <c r="K36" s="230">
        <v>3.52</v>
      </c>
      <c r="L36" s="230">
        <v>50</v>
      </c>
      <c r="M36" s="188"/>
      <c r="N36" s="189"/>
      <c r="O36" s="230">
        <v>58.533408545367074</v>
      </c>
      <c r="P36" s="230">
        <v>18.576202592414798</v>
      </c>
      <c r="Q36" s="231">
        <v>-0.11376384836511233</v>
      </c>
      <c r="R36" s="51"/>
      <c r="T36" s="222"/>
    </row>
    <row r="37" spans="2:20" ht="15" customHeight="1">
      <c r="B37" s="2"/>
      <c r="C37" s="132" t="s">
        <v>105</v>
      </c>
      <c r="D37" s="133"/>
      <c r="E37" s="55">
        <v>801</v>
      </c>
      <c r="F37" s="66"/>
      <c r="G37" s="228">
        <v>205.40464419475657</v>
      </c>
      <c r="H37" s="228">
        <v>4.7300000000000004</v>
      </c>
      <c r="I37" s="228">
        <v>3200.17</v>
      </c>
      <c r="J37" s="228">
        <v>56.229076154806492</v>
      </c>
      <c r="K37" s="228">
        <v>0.01</v>
      </c>
      <c r="L37" s="228">
        <v>1125</v>
      </c>
      <c r="M37" s="57"/>
      <c r="N37" s="134"/>
      <c r="O37" s="228">
        <v>176.05259882369037</v>
      </c>
      <c r="P37" s="228">
        <v>64.321971002598843</v>
      </c>
      <c r="Q37" s="229">
        <v>-0.12581853798078413</v>
      </c>
      <c r="R37" s="51"/>
      <c r="T37" s="222"/>
    </row>
    <row r="38" spans="2:20" ht="15" customHeight="1">
      <c r="B38" s="2"/>
      <c r="C38" s="183"/>
      <c r="D38" s="184" t="s">
        <v>106</v>
      </c>
      <c r="E38" s="185">
        <v>85</v>
      </c>
      <c r="F38" s="186"/>
      <c r="G38" s="230">
        <v>90.304235294117646</v>
      </c>
      <c r="H38" s="230">
        <v>15</v>
      </c>
      <c r="I38" s="230">
        <v>1125</v>
      </c>
      <c r="J38" s="230">
        <v>80.880470588235298</v>
      </c>
      <c r="K38" s="230">
        <v>15</v>
      </c>
      <c r="L38" s="230">
        <v>1125</v>
      </c>
      <c r="M38" s="188"/>
      <c r="N38" s="189"/>
      <c r="O38" s="230">
        <v>121.7327166788055</v>
      </c>
      <c r="P38" s="230">
        <v>90.76275309541154</v>
      </c>
      <c r="Q38" s="231">
        <v>-0.10888051051752479</v>
      </c>
      <c r="R38" s="51"/>
      <c r="T38" s="222"/>
    </row>
    <row r="39" spans="2:20" ht="15" customHeight="1">
      <c r="B39" s="2"/>
      <c r="C39" s="183"/>
      <c r="D39" s="184" t="s">
        <v>107</v>
      </c>
      <c r="E39" s="185">
        <v>51</v>
      </c>
      <c r="F39" s="186"/>
      <c r="G39" s="230">
        <v>136.51215686274509</v>
      </c>
      <c r="H39" s="230">
        <v>20</v>
      </c>
      <c r="I39" s="230">
        <v>2276.15</v>
      </c>
      <c r="J39" s="230">
        <v>40.482352941176465</v>
      </c>
      <c r="K39" s="230">
        <v>7.8</v>
      </c>
      <c r="L39" s="230">
        <v>455.23</v>
      </c>
      <c r="M39" s="188"/>
      <c r="N39" s="189"/>
      <c r="O39" s="230">
        <v>96.366675712347345</v>
      </c>
      <c r="P39" s="230">
        <v>46.513839891451831</v>
      </c>
      <c r="Q39" s="231">
        <v>-0.12966904445562399</v>
      </c>
      <c r="R39" s="51"/>
      <c r="T39" s="222"/>
    </row>
    <row r="40" spans="2:20" ht="15" customHeight="1">
      <c r="B40" s="2"/>
      <c r="C40" s="183"/>
      <c r="D40" s="184" t="s">
        <v>108</v>
      </c>
      <c r="E40" s="185">
        <v>3</v>
      </c>
      <c r="F40" s="186"/>
      <c r="G40" s="230">
        <v>24</v>
      </c>
      <c r="H40" s="230">
        <v>24</v>
      </c>
      <c r="I40" s="230">
        <v>24</v>
      </c>
      <c r="J40" s="230">
        <v>24</v>
      </c>
      <c r="K40" s="230">
        <v>24</v>
      </c>
      <c r="L40" s="230">
        <v>24</v>
      </c>
      <c r="M40" s="188"/>
      <c r="N40" s="189"/>
      <c r="O40" s="230">
        <v>23.77570093457944</v>
      </c>
      <c r="P40" s="230">
        <v>23.77570093457944</v>
      </c>
      <c r="Q40" s="231">
        <v>9.4340019431604638E-3</v>
      </c>
      <c r="R40" s="51"/>
      <c r="T40" s="222"/>
    </row>
    <row r="41" spans="2:20" ht="15" customHeight="1">
      <c r="B41" s="2"/>
      <c r="C41" s="183"/>
      <c r="D41" s="184" t="s">
        <v>109</v>
      </c>
      <c r="E41" s="185">
        <v>13</v>
      </c>
      <c r="F41" s="186"/>
      <c r="G41" s="230">
        <v>110.34384615384616</v>
      </c>
      <c r="H41" s="230">
        <v>53.9</v>
      </c>
      <c r="I41" s="230">
        <v>183.75</v>
      </c>
      <c r="J41" s="230">
        <v>38.619230769230768</v>
      </c>
      <c r="K41" s="230">
        <v>18.86</v>
      </c>
      <c r="L41" s="230">
        <v>64.31</v>
      </c>
      <c r="M41" s="188"/>
      <c r="N41" s="189"/>
      <c r="O41" s="230">
        <v>99.212139999999962</v>
      </c>
      <c r="P41" s="230">
        <v>34.640860000000018</v>
      </c>
      <c r="Q41" s="231">
        <v>0.11484401386799981</v>
      </c>
      <c r="R41" s="51"/>
      <c r="T41" s="222"/>
    </row>
    <row r="42" spans="2:20" ht="15" customHeight="1">
      <c r="B42" s="2"/>
      <c r="C42" s="183"/>
      <c r="D42" s="184" t="s">
        <v>110</v>
      </c>
      <c r="E42" s="185">
        <v>24</v>
      </c>
      <c r="F42" s="186"/>
      <c r="G42" s="230">
        <v>74.735833333333332</v>
      </c>
      <c r="H42" s="230">
        <v>21.87</v>
      </c>
      <c r="I42" s="230">
        <v>1134.5</v>
      </c>
      <c r="J42" s="230">
        <v>14.946666666666667</v>
      </c>
      <c r="K42" s="230">
        <v>4.37</v>
      </c>
      <c r="L42" s="230">
        <v>226.9</v>
      </c>
      <c r="M42" s="188"/>
      <c r="N42" s="189"/>
      <c r="O42" s="230">
        <v>475.91878296146035</v>
      </c>
      <c r="P42" s="230">
        <v>94.310365111561879</v>
      </c>
      <c r="Q42" s="231">
        <v>-0.84151588796145493</v>
      </c>
      <c r="R42" s="51"/>
      <c r="T42" s="222"/>
    </row>
    <row r="43" spans="2:20" ht="15" customHeight="1">
      <c r="B43" s="2"/>
      <c r="C43" s="183"/>
      <c r="D43" s="184" t="s">
        <v>111</v>
      </c>
      <c r="E43" s="185">
        <v>597</v>
      </c>
      <c r="F43" s="186"/>
      <c r="G43" s="230">
        <v>237.5929313232831</v>
      </c>
      <c r="H43" s="230">
        <v>10.28</v>
      </c>
      <c r="I43" s="230">
        <v>3200.17</v>
      </c>
      <c r="J43" s="230">
        <v>53.82499162479062</v>
      </c>
      <c r="K43" s="230">
        <v>0.01</v>
      </c>
      <c r="L43" s="230">
        <v>688.65</v>
      </c>
      <c r="M43" s="188"/>
      <c r="N43" s="189"/>
      <c r="O43" s="230">
        <v>192.94326455026456</v>
      </c>
      <c r="P43" s="230">
        <v>58.041021164021174</v>
      </c>
      <c r="Q43" s="231">
        <v>-7.263830740338717E-2</v>
      </c>
      <c r="R43" s="51"/>
      <c r="T43" s="222"/>
    </row>
    <row r="44" spans="2:20" ht="15" customHeight="1">
      <c r="B44" s="2"/>
      <c r="C44" s="183"/>
      <c r="D44" s="184" t="s">
        <v>112</v>
      </c>
      <c r="E44" s="185">
        <v>15</v>
      </c>
      <c r="F44" s="186"/>
      <c r="G44" s="230">
        <v>237.68733333333333</v>
      </c>
      <c r="H44" s="230">
        <v>4.7300000000000004</v>
      </c>
      <c r="I44" s="230">
        <v>1056.2</v>
      </c>
      <c r="J44" s="230">
        <v>123.40266666666666</v>
      </c>
      <c r="K44" s="230">
        <v>1.89</v>
      </c>
      <c r="L44" s="230">
        <v>364.96</v>
      </c>
      <c r="M44" s="188"/>
      <c r="N44" s="189"/>
      <c r="O44" s="230">
        <v>110.48441176470587</v>
      </c>
      <c r="P44" s="230">
        <v>67.941000000000031</v>
      </c>
      <c r="Q44" s="231">
        <v>0.81632151425501531</v>
      </c>
      <c r="R44" s="51"/>
      <c r="T44" s="222"/>
    </row>
    <row r="45" spans="2:20" ht="15" customHeight="1">
      <c r="B45" s="2"/>
      <c r="C45" s="183"/>
      <c r="D45" s="184" t="s">
        <v>113</v>
      </c>
      <c r="E45" s="185">
        <v>5</v>
      </c>
      <c r="F45" s="186"/>
      <c r="G45" s="230">
        <v>204.54400000000001</v>
      </c>
      <c r="H45" s="230">
        <v>137.12</v>
      </c>
      <c r="I45" s="230">
        <v>274.24</v>
      </c>
      <c r="J45" s="230">
        <v>204.54400000000001</v>
      </c>
      <c r="K45" s="230">
        <v>137.12</v>
      </c>
      <c r="L45" s="230">
        <v>274.24</v>
      </c>
      <c r="M45" s="188"/>
      <c r="N45" s="189"/>
      <c r="O45" s="230">
        <v>341.08484848484852</v>
      </c>
      <c r="P45" s="230">
        <v>341.08484848484852</v>
      </c>
      <c r="Q45" s="231">
        <v>-0.40031335316026972</v>
      </c>
      <c r="R45" s="51"/>
      <c r="T45" s="222"/>
    </row>
    <row r="46" spans="2:20" ht="15" customHeight="1">
      <c r="B46" s="2"/>
      <c r="C46" s="183"/>
      <c r="D46" s="184" t="s">
        <v>114</v>
      </c>
      <c r="E46" s="185">
        <v>8</v>
      </c>
      <c r="F46" s="186"/>
      <c r="G46" s="230">
        <v>20</v>
      </c>
      <c r="H46" s="230">
        <v>20</v>
      </c>
      <c r="I46" s="230">
        <v>20</v>
      </c>
      <c r="J46" s="230">
        <v>20</v>
      </c>
      <c r="K46" s="230">
        <v>20</v>
      </c>
      <c r="L46" s="230">
        <v>20</v>
      </c>
      <c r="M46" s="188"/>
      <c r="N46" s="189"/>
      <c r="O46" s="230">
        <v>24.87</v>
      </c>
      <c r="P46" s="230">
        <v>23.245454545454546</v>
      </c>
      <c r="Q46" s="231">
        <v>-0.13961842076961128</v>
      </c>
      <c r="R46" s="51"/>
      <c r="T46" s="222"/>
    </row>
    <row r="47" spans="2:20" ht="15" customHeight="1">
      <c r="B47" s="2"/>
      <c r="C47" s="132" t="s">
        <v>115</v>
      </c>
      <c r="D47" s="133"/>
      <c r="E47" s="55">
        <v>0</v>
      </c>
      <c r="F47" s="66"/>
      <c r="G47" s="228"/>
      <c r="H47" s="228">
        <v>0</v>
      </c>
      <c r="I47" s="228">
        <v>0</v>
      </c>
      <c r="J47" s="228">
        <v>0</v>
      </c>
      <c r="K47" s="228">
        <v>0</v>
      </c>
      <c r="L47" s="228">
        <v>0</v>
      </c>
      <c r="M47" s="57"/>
      <c r="N47" s="134"/>
      <c r="O47" s="228">
        <v>3973.4859999999994</v>
      </c>
      <c r="P47" s="228">
        <v>3180.0919999999996</v>
      </c>
      <c r="Q47" s="229">
        <v>-1</v>
      </c>
      <c r="R47" s="51"/>
      <c r="T47" s="222"/>
    </row>
    <row r="48" spans="2:20" ht="15" customHeight="1">
      <c r="B48" s="2"/>
      <c r="C48" s="183"/>
      <c r="D48" s="184" t="s">
        <v>116</v>
      </c>
      <c r="E48" s="185">
        <v>0</v>
      </c>
      <c r="F48" s="186"/>
      <c r="G48" s="230"/>
      <c r="H48" s="230">
        <v>0</v>
      </c>
      <c r="I48" s="230">
        <v>0</v>
      </c>
      <c r="J48" s="230">
        <v>0</v>
      </c>
      <c r="K48" s="230">
        <v>0</v>
      </c>
      <c r="L48" s="230">
        <v>0</v>
      </c>
      <c r="M48" s="188"/>
      <c r="N48" s="189"/>
      <c r="O48" s="230">
        <v>3973.4859999999994</v>
      </c>
      <c r="P48" s="230">
        <v>3180.0919999999996</v>
      </c>
      <c r="Q48" s="231">
        <v>-1</v>
      </c>
      <c r="R48" s="51"/>
      <c r="T48" s="222"/>
    </row>
    <row r="49" spans="2:20" ht="15" customHeight="1">
      <c r="B49" s="2"/>
      <c r="C49" s="132" t="s">
        <v>117</v>
      </c>
      <c r="D49" s="133"/>
      <c r="E49" s="55">
        <v>949</v>
      </c>
      <c r="F49" s="66"/>
      <c r="G49" s="228">
        <v>211.53698630136984</v>
      </c>
      <c r="H49" s="228">
        <v>5</v>
      </c>
      <c r="I49" s="228">
        <v>1040</v>
      </c>
      <c r="J49" s="228">
        <v>105.00800842992635</v>
      </c>
      <c r="K49" s="228">
        <v>0.02</v>
      </c>
      <c r="L49" s="228">
        <v>391.94</v>
      </c>
      <c r="M49" s="57"/>
      <c r="N49" s="134"/>
      <c r="O49" s="228">
        <v>191.29175415282381</v>
      </c>
      <c r="P49" s="228">
        <v>131.49341528239216</v>
      </c>
      <c r="Q49" s="229">
        <v>-0.20141999522409493</v>
      </c>
      <c r="R49" s="51"/>
      <c r="T49" s="222"/>
    </row>
    <row r="50" spans="2:20" ht="15" customHeight="1">
      <c r="B50" s="2"/>
      <c r="C50" s="183"/>
      <c r="D50" s="184" t="s">
        <v>118</v>
      </c>
      <c r="E50" s="185">
        <v>484</v>
      </c>
      <c r="F50" s="186"/>
      <c r="G50" s="230">
        <v>243.25175619834712</v>
      </c>
      <c r="H50" s="230">
        <v>5</v>
      </c>
      <c r="I50" s="230">
        <v>1040</v>
      </c>
      <c r="J50" s="230">
        <v>114.19154958677707</v>
      </c>
      <c r="K50" s="230">
        <v>0.02</v>
      </c>
      <c r="L50" s="230">
        <v>391.94</v>
      </c>
      <c r="M50" s="188"/>
      <c r="N50" s="189"/>
      <c r="O50" s="230">
        <v>243.94091871091862</v>
      </c>
      <c r="P50" s="230">
        <v>164.24483886483929</v>
      </c>
      <c r="Q50" s="231">
        <v>-0.30474815641043118</v>
      </c>
      <c r="R50" s="51"/>
      <c r="T50" s="222"/>
    </row>
    <row r="51" spans="2:20" ht="15" customHeight="1">
      <c r="B51" s="2"/>
      <c r="C51" s="183"/>
      <c r="D51" s="184" t="s">
        <v>119</v>
      </c>
      <c r="E51" s="185">
        <v>8</v>
      </c>
      <c r="F51" s="186"/>
      <c r="G51" s="230">
        <v>50.625</v>
      </c>
      <c r="H51" s="230">
        <v>30</v>
      </c>
      <c r="I51" s="230">
        <v>95</v>
      </c>
      <c r="J51" s="230">
        <v>41.512500000000003</v>
      </c>
      <c r="K51" s="230">
        <v>24.6</v>
      </c>
      <c r="L51" s="230">
        <v>77.900000000000006</v>
      </c>
      <c r="M51" s="188"/>
      <c r="N51" s="189"/>
      <c r="O51" s="230">
        <v>54.905660377358494</v>
      </c>
      <c r="P51" s="230">
        <v>45.02264150943396</v>
      </c>
      <c r="Q51" s="231">
        <v>-7.7963067437242461E-2</v>
      </c>
      <c r="R51" s="51"/>
      <c r="T51" s="222"/>
    </row>
    <row r="52" spans="2:20" ht="15" customHeight="1">
      <c r="B52" s="2"/>
      <c r="C52" s="183"/>
      <c r="D52" s="184" t="s">
        <v>120</v>
      </c>
      <c r="E52" s="185">
        <v>0</v>
      </c>
      <c r="F52" s="186"/>
      <c r="G52" s="230"/>
      <c r="H52" s="230">
        <v>0</v>
      </c>
      <c r="I52" s="230">
        <v>0</v>
      </c>
      <c r="J52" s="230">
        <v>0</v>
      </c>
      <c r="K52" s="230">
        <v>0</v>
      </c>
      <c r="L52" s="230">
        <v>0</v>
      </c>
      <c r="M52" s="188"/>
      <c r="N52" s="189"/>
      <c r="O52" s="230">
        <v>1240.7</v>
      </c>
      <c r="P52" s="230">
        <v>438.5200000000001</v>
      </c>
      <c r="Q52" s="231">
        <v>-1</v>
      </c>
      <c r="R52" s="51"/>
      <c r="T52" s="222"/>
    </row>
    <row r="53" spans="2:20" ht="15" customHeight="1">
      <c r="B53" s="2"/>
      <c r="C53" s="183"/>
      <c r="D53" s="184" t="s">
        <v>121</v>
      </c>
      <c r="E53" s="185">
        <v>225</v>
      </c>
      <c r="F53" s="186"/>
      <c r="G53" s="230">
        <v>65.647022222222219</v>
      </c>
      <c r="H53" s="230">
        <v>14.4</v>
      </c>
      <c r="I53" s="230">
        <v>267</v>
      </c>
      <c r="J53" s="230">
        <v>43.086755555555555</v>
      </c>
      <c r="K53" s="230">
        <v>0.64</v>
      </c>
      <c r="L53" s="230">
        <v>267</v>
      </c>
      <c r="M53" s="188"/>
      <c r="N53" s="189"/>
      <c r="O53" s="230">
        <v>79.618192520775622</v>
      </c>
      <c r="P53" s="230">
        <v>62.825277008310238</v>
      </c>
      <c r="Q53" s="231">
        <v>-0.31418075202187656</v>
      </c>
      <c r="R53" s="51"/>
      <c r="T53" s="222"/>
    </row>
    <row r="54" spans="2:20" ht="15" customHeight="1">
      <c r="B54" s="2"/>
      <c r="C54" s="183"/>
      <c r="D54" s="184" t="s">
        <v>122</v>
      </c>
      <c r="E54" s="185">
        <v>0</v>
      </c>
      <c r="F54" s="186"/>
      <c r="G54" s="230"/>
      <c r="H54" s="230">
        <v>0</v>
      </c>
      <c r="I54" s="230">
        <v>0</v>
      </c>
      <c r="J54" s="230">
        <v>0</v>
      </c>
      <c r="K54" s="230">
        <v>0</v>
      </c>
      <c r="L54" s="230">
        <v>0</v>
      </c>
      <c r="M54" s="188"/>
      <c r="N54" s="189"/>
      <c r="O54" s="230">
        <v>171.19374999999999</v>
      </c>
      <c r="P54" s="230">
        <v>127.90041666666667</v>
      </c>
      <c r="Q54" s="231">
        <v>-1</v>
      </c>
      <c r="R54" s="51"/>
      <c r="T54" s="222"/>
    </row>
    <row r="55" spans="2:20" ht="15" customHeight="1">
      <c r="B55" s="2"/>
      <c r="C55" s="183"/>
      <c r="D55" s="184" t="s">
        <v>123</v>
      </c>
      <c r="E55" s="185">
        <v>3</v>
      </c>
      <c r="F55" s="186"/>
      <c r="G55" s="230">
        <v>139.41666666666666</v>
      </c>
      <c r="H55" s="230">
        <v>115</v>
      </c>
      <c r="I55" s="230">
        <v>161.25</v>
      </c>
      <c r="J55" s="230">
        <v>118.97000000000001</v>
      </c>
      <c r="K55" s="230">
        <v>99.97</v>
      </c>
      <c r="L55" s="230">
        <v>141.97</v>
      </c>
      <c r="M55" s="188"/>
      <c r="N55" s="189"/>
      <c r="O55" s="230">
        <v>173.81022727272727</v>
      </c>
      <c r="P55" s="230">
        <v>129.52477272727273</v>
      </c>
      <c r="Q55" s="231">
        <v>-8.148864155744695E-2</v>
      </c>
      <c r="R55" s="51"/>
      <c r="T55" s="222"/>
    </row>
    <row r="56" spans="2:20" ht="15" customHeight="1">
      <c r="B56" s="2"/>
      <c r="C56" s="183"/>
      <c r="D56" s="184" t="s">
        <v>124</v>
      </c>
      <c r="E56" s="185">
        <v>112</v>
      </c>
      <c r="F56" s="186"/>
      <c r="G56" s="230">
        <v>398.57294642857141</v>
      </c>
      <c r="H56" s="230">
        <v>100</v>
      </c>
      <c r="I56" s="230">
        <v>873.1</v>
      </c>
      <c r="J56" s="230">
        <v>196.66044642857145</v>
      </c>
      <c r="K56" s="230">
        <v>43</v>
      </c>
      <c r="L56" s="230">
        <v>309.97000000000003</v>
      </c>
      <c r="M56" s="188"/>
      <c r="N56" s="189"/>
      <c r="O56" s="230">
        <v>285.03553488372091</v>
      </c>
      <c r="P56" s="230">
        <v>193.28869767441876</v>
      </c>
      <c r="Q56" s="231">
        <v>1.7443854710596174E-2</v>
      </c>
      <c r="R56" s="51"/>
      <c r="T56" s="222"/>
    </row>
    <row r="57" spans="2:20" ht="15" customHeight="1">
      <c r="B57" s="2"/>
      <c r="C57" s="183"/>
      <c r="D57" s="184" t="s">
        <v>125</v>
      </c>
      <c r="E57" s="185">
        <v>115</v>
      </c>
      <c r="F57" s="186"/>
      <c r="G57" s="230">
        <v>191.79086956521741</v>
      </c>
      <c r="H57" s="230">
        <v>54.5</v>
      </c>
      <c r="I57" s="230">
        <v>488.28</v>
      </c>
      <c r="J57" s="230">
        <v>100.97434782608696</v>
      </c>
      <c r="K57" s="230">
        <v>9.9700000000000006</v>
      </c>
      <c r="L57" s="230">
        <v>274.24</v>
      </c>
      <c r="M57" s="188"/>
      <c r="N57" s="189"/>
      <c r="O57" s="230">
        <v>142.01880877742946</v>
      </c>
      <c r="P57" s="230">
        <v>101.99027429467085</v>
      </c>
      <c r="Q57" s="231">
        <v>-9.9617316548731294E-3</v>
      </c>
      <c r="R57" s="51"/>
      <c r="T57" s="222"/>
    </row>
    <row r="58" spans="2:20" ht="15" customHeight="1">
      <c r="B58" s="2"/>
      <c r="C58" s="183"/>
      <c r="D58" s="184" t="s">
        <v>126</v>
      </c>
      <c r="E58" s="185">
        <v>2</v>
      </c>
      <c r="F58" s="186"/>
      <c r="G58" s="230">
        <v>362.4</v>
      </c>
      <c r="H58" s="230">
        <v>362.4</v>
      </c>
      <c r="I58" s="230">
        <v>362.4</v>
      </c>
      <c r="J58" s="230">
        <v>181.17</v>
      </c>
      <c r="K58" s="230">
        <v>146.38</v>
      </c>
      <c r="L58" s="230">
        <v>215.96</v>
      </c>
      <c r="M58" s="188"/>
      <c r="N58" s="189"/>
      <c r="O58" s="230">
        <v>570.505</v>
      </c>
      <c r="P58" s="230">
        <v>373.11250000000001</v>
      </c>
      <c r="Q58" s="231">
        <v>-0.51443599450567867</v>
      </c>
      <c r="R58" s="51"/>
      <c r="T58" s="222"/>
    </row>
    <row r="59" spans="2:20" ht="15" customHeight="1">
      <c r="B59" s="2"/>
      <c r="C59" s="183"/>
      <c r="D59" s="184" t="s">
        <v>127</v>
      </c>
      <c r="E59" s="185">
        <v>0</v>
      </c>
      <c r="F59" s="186"/>
      <c r="G59" s="230"/>
      <c r="H59" s="230">
        <v>0</v>
      </c>
      <c r="I59" s="230">
        <v>0</v>
      </c>
      <c r="J59" s="230">
        <v>0</v>
      </c>
      <c r="K59" s="230">
        <v>0</v>
      </c>
      <c r="L59" s="230">
        <v>0</v>
      </c>
      <c r="M59" s="188"/>
      <c r="N59" s="189"/>
      <c r="O59" s="230">
        <v>63</v>
      </c>
      <c r="P59" s="230">
        <v>62.95</v>
      </c>
      <c r="Q59" s="231">
        <v>-1</v>
      </c>
      <c r="R59" s="51"/>
      <c r="T59" s="222"/>
    </row>
    <row r="60" spans="2:20" ht="15" customHeight="1">
      <c r="B60" s="2"/>
      <c r="C60" s="132" t="s">
        <v>128</v>
      </c>
      <c r="D60" s="133"/>
      <c r="E60" s="55">
        <v>319</v>
      </c>
      <c r="F60" s="66"/>
      <c r="G60" s="228">
        <v>51.953385579937304</v>
      </c>
      <c r="H60" s="228">
        <v>12.13</v>
      </c>
      <c r="I60" s="228">
        <v>150</v>
      </c>
      <c r="J60" s="228">
        <v>42.57721003134796</v>
      </c>
      <c r="K60" s="228">
        <v>5</v>
      </c>
      <c r="L60" s="228">
        <v>100</v>
      </c>
      <c r="M60" s="57"/>
      <c r="N60" s="134"/>
      <c r="O60" s="228">
        <v>54.288954514596085</v>
      </c>
      <c r="P60" s="228">
        <v>41.004826883910383</v>
      </c>
      <c r="Q60" s="229">
        <v>3.8346730138910434E-2</v>
      </c>
      <c r="R60" s="51"/>
      <c r="T60" s="222"/>
    </row>
    <row r="61" spans="2:20" ht="15" customHeight="1">
      <c r="B61" s="2"/>
      <c r="C61" s="183"/>
      <c r="D61" s="184" t="s">
        <v>129</v>
      </c>
      <c r="E61" s="185">
        <v>317</v>
      </c>
      <c r="F61" s="186"/>
      <c r="G61" s="230">
        <v>52.069400630914828</v>
      </c>
      <c r="H61" s="230">
        <v>20</v>
      </c>
      <c r="I61" s="230">
        <v>150</v>
      </c>
      <c r="J61" s="230">
        <v>42.728706624605678</v>
      </c>
      <c r="K61" s="230">
        <v>5</v>
      </c>
      <c r="L61" s="230">
        <v>100</v>
      </c>
      <c r="M61" s="188"/>
      <c r="N61" s="189"/>
      <c r="O61" s="230">
        <v>54.452727895819052</v>
      </c>
      <c r="P61" s="230">
        <v>41.179215215901301</v>
      </c>
      <c r="Q61" s="231">
        <v>3.7628220072269514E-2</v>
      </c>
      <c r="R61" s="51"/>
      <c r="T61" s="222"/>
    </row>
    <row r="62" spans="2:20" ht="15" customHeight="1">
      <c r="B62" s="2"/>
      <c r="C62" s="183"/>
      <c r="D62" s="184" t="s">
        <v>130</v>
      </c>
      <c r="E62" s="185">
        <v>2</v>
      </c>
      <c r="F62" s="186"/>
      <c r="G62" s="230">
        <v>33.564999999999998</v>
      </c>
      <c r="H62" s="230">
        <v>12.13</v>
      </c>
      <c r="I62" s="230">
        <v>55</v>
      </c>
      <c r="J62" s="230">
        <v>18.565000000000001</v>
      </c>
      <c r="K62" s="230">
        <v>12.13</v>
      </c>
      <c r="L62" s="230">
        <v>25</v>
      </c>
      <c r="M62" s="188"/>
      <c r="N62" s="189"/>
      <c r="O62" s="230">
        <v>37.221428571428582</v>
      </c>
      <c r="P62" s="230">
        <v>22.831071428571427</v>
      </c>
      <c r="Q62" s="231">
        <v>-0.18685477265659556</v>
      </c>
      <c r="R62" s="51"/>
      <c r="T62" s="222"/>
    </row>
    <row r="63" spans="2:20" ht="15" customHeight="1">
      <c r="B63" s="2"/>
      <c r="C63" s="132" t="s">
        <v>131</v>
      </c>
      <c r="D63" s="133"/>
      <c r="E63" s="55">
        <v>57096</v>
      </c>
      <c r="F63" s="66"/>
      <c r="G63" s="228">
        <v>10.42411990332066</v>
      </c>
      <c r="H63" s="228">
        <v>0.31</v>
      </c>
      <c r="I63" s="228">
        <v>1190.03</v>
      </c>
      <c r="J63" s="228">
        <v>3.5297316799776479</v>
      </c>
      <c r="K63" s="228">
        <v>0.02</v>
      </c>
      <c r="L63" s="228">
        <v>833.02</v>
      </c>
      <c r="M63" s="57"/>
      <c r="N63" s="134"/>
      <c r="O63" s="228">
        <v>11.297087700843916</v>
      </c>
      <c r="P63" s="228">
        <v>4.2845221881843516</v>
      </c>
      <c r="Q63" s="229">
        <v>-0.17616991480919597</v>
      </c>
      <c r="R63" s="51"/>
      <c r="T63" s="222"/>
    </row>
    <row r="64" spans="2:20" ht="15" customHeight="1">
      <c r="B64" s="2"/>
      <c r="C64" s="183"/>
      <c r="D64" s="184" t="s">
        <v>132</v>
      </c>
      <c r="E64" s="185">
        <v>2079</v>
      </c>
      <c r="F64" s="186"/>
      <c r="G64" s="230">
        <v>23.805541125540934</v>
      </c>
      <c r="H64" s="230">
        <v>1.35</v>
      </c>
      <c r="I64" s="230">
        <v>486</v>
      </c>
      <c r="J64" s="230">
        <v>9.3339730639731116</v>
      </c>
      <c r="K64" s="230">
        <v>0.27</v>
      </c>
      <c r="L64" s="230">
        <v>194.4</v>
      </c>
      <c r="M64" s="188"/>
      <c r="N64" s="189"/>
      <c r="O64" s="230">
        <v>23.758774369366083</v>
      </c>
      <c r="P64" s="230">
        <v>9.2234805394452088</v>
      </c>
      <c r="Q64" s="231">
        <v>1.1980267794221344E-2</v>
      </c>
      <c r="R64" s="51"/>
      <c r="T64" s="222"/>
    </row>
    <row r="65" spans="2:20" ht="15" customHeight="1">
      <c r="B65" s="2"/>
      <c r="C65" s="183"/>
      <c r="D65" s="184" t="s">
        <v>84</v>
      </c>
      <c r="E65" s="185">
        <v>60</v>
      </c>
      <c r="F65" s="186"/>
      <c r="G65" s="230">
        <v>53.197833333333328</v>
      </c>
      <c r="H65" s="230">
        <v>2.6</v>
      </c>
      <c r="I65" s="230">
        <v>650</v>
      </c>
      <c r="J65" s="230">
        <v>18.771666666666665</v>
      </c>
      <c r="K65" s="230">
        <v>1.04</v>
      </c>
      <c r="L65" s="230">
        <v>138</v>
      </c>
      <c r="M65" s="188"/>
      <c r="N65" s="189"/>
      <c r="O65" s="230">
        <v>50.804415094339625</v>
      </c>
      <c r="P65" s="230">
        <v>20.847408805031439</v>
      </c>
      <c r="Q65" s="231">
        <v>-9.9566372785095614E-2</v>
      </c>
      <c r="R65" s="51"/>
      <c r="T65" s="222"/>
    </row>
    <row r="66" spans="2:20" ht="15" customHeight="1">
      <c r="B66" s="2"/>
      <c r="C66" s="183"/>
      <c r="D66" s="184" t="s">
        <v>133</v>
      </c>
      <c r="E66" s="185">
        <v>5742</v>
      </c>
      <c r="F66" s="186"/>
      <c r="G66" s="230">
        <v>14.490426680599059</v>
      </c>
      <c r="H66" s="230">
        <v>0.75</v>
      </c>
      <c r="I66" s="230">
        <v>165</v>
      </c>
      <c r="J66" s="230">
        <v>5.513899338209753</v>
      </c>
      <c r="K66" s="230">
        <v>0.02</v>
      </c>
      <c r="L66" s="230">
        <v>97.46</v>
      </c>
      <c r="M66" s="188"/>
      <c r="N66" s="189"/>
      <c r="O66" s="230">
        <v>17.212003707086438</v>
      </c>
      <c r="P66" s="230">
        <v>6.8176008703594055</v>
      </c>
      <c r="Q66" s="231">
        <v>-0.19122565125557378</v>
      </c>
      <c r="R66" s="51"/>
      <c r="T66" s="222"/>
    </row>
    <row r="67" spans="2:20" ht="15" customHeight="1">
      <c r="B67" s="2"/>
      <c r="C67" s="183"/>
      <c r="D67" s="184" t="s">
        <v>134</v>
      </c>
      <c r="E67" s="185">
        <v>9887</v>
      </c>
      <c r="F67" s="186"/>
      <c r="G67" s="230">
        <v>27.585016688580964</v>
      </c>
      <c r="H67" s="230">
        <v>0.51</v>
      </c>
      <c r="I67" s="230">
        <v>300</v>
      </c>
      <c r="J67" s="230">
        <v>8.0747425912814297</v>
      </c>
      <c r="K67" s="230">
        <v>0.03</v>
      </c>
      <c r="L67" s="230">
        <v>100</v>
      </c>
      <c r="M67" s="188"/>
      <c r="N67" s="189"/>
      <c r="O67" s="230">
        <v>29.116977849830583</v>
      </c>
      <c r="P67" s="230">
        <v>10.502637254544746</v>
      </c>
      <c r="Q67" s="231">
        <v>-0.23117132900424653</v>
      </c>
      <c r="R67" s="51"/>
      <c r="T67" s="222"/>
    </row>
    <row r="68" spans="2:20" ht="15" customHeight="1">
      <c r="B68" s="2"/>
      <c r="C68" s="183"/>
      <c r="D68" s="184" t="s">
        <v>135</v>
      </c>
      <c r="E68" s="185">
        <v>1598</v>
      </c>
      <c r="F68" s="186"/>
      <c r="G68" s="230">
        <v>37.983110137672149</v>
      </c>
      <c r="H68" s="230">
        <v>0.75</v>
      </c>
      <c r="I68" s="230">
        <v>795</v>
      </c>
      <c r="J68" s="230">
        <v>9.8163642052565709</v>
      </c>
      <c r="K68" s="230">
        <v>0.15</v>
      </c>
      <c r="L68" s="230">
        <v>600</v>
      </c>
      <c r="M68" s="188"/>
      <c r="N68" s="189"/>
      <c r="O68" s="230">
        <v>40.378814311468581</v>
      </c>
      <c r="P68" s="230">
        <v>12.048909998613269</v>
      </c>
      <c r="Q68" s="231">
        <v>-0.18528662367519022</v>
      </c>
      <c r="R68" s="51"/>
      <c r="T68" s="222"/>
    </row>
    <row r="69" spans="2:20" ht="15" customHeight="1">
      <c r="B69" s="2"/>
      <c r="C69" s="183"/>
      <c r="D69" s="184" t="s">
        <v>136</v>
      </c>
      <c r="E69" s="185">
        <v>37700</v>
      </c>
      <c r="F69" s="186"/>
      <c r="G69" s="230">
        <v>3.3227427055702119</v>
      </c>
      <c r="H69" s="230">
        <v>0.31</v>
      </c>
      <c r="I69" s="230">
        <v>1190.03</v>
      </c>
      <c r="J69" s="230">
        <v>1.4213106100796764</v>
      </c>
      <c r="K69" s="230">
        <v>0.05</v>
      </c>
      <c r="L69" s="230">
        <v>833.02</v>
      </c>
      <c r="M69" s="188"/>
      <c r="N69" s="189"/>
      <c r="O69" s="230">
        <v>3.4297865403132075</v>
      </c>
      <c r="P69" s="230">
        <v>1.4762485818611941</v>
      </c>
      <c r="Q69" s="231">
        <v>-3.7190082644628086E-2</v>
      </c>
      <c r="R69" s="51"/>
      <c r="T69" s="222"/>
    </row>
    <row r="70" spans="2:20" ht="15" customHeight="1">
      <c r="B70" s="2"/>
      <c r="C70" s="183"/>
      <c r="D70" s="184" t="s">
        <v>137</v>
      </c>
      <c r="E70" s="185">
        <v>30</v>
      </c>
      <c r="F70" s="186"/>
      <c r="G70" s="230">
        <v>19.682000000000002</v>
      </c>
      <c r="H70" s="230">
        <v>16.899999999999999</v>
      </c>
      <c r="I70" s="230">
        <v>39</v>
      </c>
      <c r="J70" s="230">
        <v>7.8726666666666665</v>
      </c>
      <c r="K70" s="230">
        <v>6.76</v>
      </c>
      <c r="L70" s="230">
        <v>15.6</v>
      </c>
      <c r="M70" s="188"/>
      <c r="N70" s="189"/>
      <c r="O70" s="230">
        <v>21.197090909090907</v>
      </c>
      <c r="P70" s="230">
        <v>8.4787272727272711</v>
      </c>
      <c r="Q70" s="231">
        <v>-7.1473221130597842E-2</v>
      </c>
      <c r="R70" s="51"/>
      <c r="T70" s="222"/>
    </row>
    <row r="71" spans="2:20" ht="15" customHeight="1">
      <c r="B71" s="2"/>
      <c r="C71" s="135" t="s">
        <v>46</v>
      </c>
      <c r="D71" s="136"/>
      <c r="E71" s="124">
        <v>62001</v>
      </c>
      <c r="F71" s="125"/>
      <c r="G71" s="232">
        <v>20.994085901840233</v>
      </c>
      <c r="H71" s="232">
        <v>0.31</v>
      </c>
      <c r="I71" s="232">
        <v>3200.17</v>
      </c>
      <c r="J71" s="232">
        <v>7.8721651263689925</v>
      </c>
      <c r="K71" s="232">
        <v>0.01</v>
      </c>
      <c r="L71" s="232">
        <v>2678.05</v>
      </c>
      <c r="M71" s="127"/>
      <c r="N71" s="134"/>
      <c r="O71" s="232">
        <v>23.056926583707821</v>
      </c>
      <c r="P71" s="232">
        <v>10.510276016860093</v>
      </c>
      <c r="Q71" s="233">
        <v>-0.25100300755747673</v>
      </c>
      <c r="R71" s="51"/>
    </row>
    <row r="72" spans="2:20" ht="15" customHeight="1">
      <c r="B72" s="2"/>
      <c r="C72" s="1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51"/>
    </row>
    <row r="73" spans="2:20" ht="15" customHeight="1">
      <c r="B73" s="2"/>
      <c r="C73" s="1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51"/>
    </row>
    <row r="74" spans="2:20" ht="15" customHeight="1">
      <c r="B74" s="2"/>
      <c r="C74" s="136" t="s">
        <v>138</v>
      </c>
      <c r="D74" s="136"/>
      <c r="E74" s="1"/>
      <c r="F74" s="1"/>
      <c r="G74" s="1"/>
      <c r="H74" s="166">
        <v>0.49459999999999998</v>
      </c>
      <c r="I74" s="166">
        <v>4.3099999999999999E-2</v>
      </c>
      <c r="J74" s="166">
        <v>0.46230000000000004</v>
      </c>
      <c r="K74" s="1"/>
      <c r="L74" s="1"/>
      <c r="M74" s="1"/>
      <c r="N74" s="1"/>
      <c r="O74" s="1"/>
      <c r="P74" s="13"/>
      <c r="Q74" s="13"/>
      <c r="R74" s="51"/>
    </row>
    <row r="75" spans="2:20" ht="15" customHeight="1">
      <c r="B75" s="2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3"/>
      <c r="Q75" s="13"/>
      <c r="R75" s="51"/>
    </row>
    <row r="76" spans="2:20" ht="15" customHeight="1">
      <c r="B76" s="2"/>
      <c r="C76" s="136" t="s">
        <v>139</v>
      </c>
      <c r="D76" s="136"/>
      <c r="E76" s="1"/>
      <c r="F76" s="1"/>
      <c r="G76" s="126"/>
      <c r="H76" s="126"/>
      <c r="I76" s="126"/>
      <c r="J76" s="126"/>
      <c r="K76" s="1"/>
      <c r="M76" s="1"/>
      <c r="N76" s="1"/>
      <c r="O76" s="1"/>
      <c r="P76" s="13"/>
      <c r="Q76" s="13"/>
      <c r="R76" s="51"/>
    </row>
    <row r="77" spans="2:20" ht="15" customHeight="1">
      <c r="B77" s="2"/>
      <c r="C77" s="136" t="s">
        <v>140</v>
      </c>
      <c r="D77" s="136"/>
      <c r="E77" s="1"/>
      <c r="F77" s="1"/>
      <c r="G77" s="126"/>
      <c r="H77" s="126"/>
      <c r="I77" s="126"/>
      <c r="J77" s="126"/>
      <c r="K77" s="1"/>
      <c r="L77" s="1"/>
      <c r="M77" s="1"/>
      <c r="N77" s="1"/>
      <c r="O77" s="1"/>
      <c r="P77" s="13"/>
      <c r="Q77" s="13"/>
      <c r="R77" s="51"/>
    </row>
    <row r="78" spans="2:20" ht="15" customHeight="1">
      <c r="B78" s="2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3"/>
      <c r="Q78" s="13"/>
      <c r="R78" s="51"/>
    </row>
    <row r="79" spans="2:20" ht="15" customHeight="1">
      <c r="B79" s="2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3"/>
      <c r="Q79" s="13"/>
      <c r="R79" s="51"/>
    </row>
    <row r="80" spans="2:20" ht="12" customHeight="1">
      <c r="B80" s="3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8"/>
      <c r="Q80" s="138"/>
      <c r="R80" s="52"/>
    </row>
    <row r="81" spans="7:17" ht="15.75">
      <c r="G81" s="37"/>
      <c r="J81" s="37"/>
      <c r="K81" s="1"/>
      <c r="L81" s="1"/>
      <c r="M81" s="1"/>
      <c r="N81" s="1"/>
      <c r="O81" s="1"/>
      <c r="P81" s="13"/>
      <c r="Q81" s="13"/>
    </row>
    <row r="82" spans="7:17" ht="15.75">
      <c r="G82" s="1"/>
      <c r="H82" s="234"/>
      <c r="I82" s="234"/>
      <c r="J82" s="1"/>
      <c r="K82" s="234"/>
      <c r="L82" s="234"/>
      <c r="M82" s="1"/>
      <c r="N82" s="1"/>
      <c r="O82" s="1"/>
      <c r="P82" s="13"/>
      <c r="Q82" s="13"/>
    </row>
    <row r="83" spans="7:17">
      <c r="H83" s="1"/>
      <c r="I83" s="1"/>
      <c r="J83" s="1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4257812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62" t="str">
        <f>'Page de garde'!C13&amp;" : Analyse de la dépense médicale"</f>
        <v xml:space="preserve"> : Analyse de la dépense médicale</v>
      </c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4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79"/>
    </row>
    <row r="17" spans="2:27">
      <c r="B17" s="2"/>
      <c r="S17" s="51"/>
    </row>
    <row r="18" spans="2:27">
      <c r="B18" s="2"/>
      <c r="S18" s="51"/>
      <c r="V18" s="180" t="str">
        <f>'DATA QUARTILE'!C2</f>
        <v>ACTES DE PROPHYLAXIE ET PREVENTION</v>
      </c>
      <c r="W18" s="170"/>
      <c r="X18" s="171"/>
      <c r="Y18" s="180"/>
      <c r="Z18" s="170"/>
      <c r="AA18" s="171"/>
    </row>
    <row r="19" spans="2:27">
      <c r="B19" s="2"/>
      <c r="S19" s="51"/>
      <c r="V19" s="172"/>
      <c r="X19" s="173" t="s">
        <v>164</v>
      </c>
      <c r="Y19" s="172"/>
      <c r="AA19" s="173" t="s">
        <v>164</v>
      </c>
    </row>
    <row r="20" spans="2:27">
      <c r="B20" s="2"/>
      <c r="S20" s="51"/>
      <c r="V20" s="172" t="s">
        <v>165</v>
      </c>
      <c r="W20" s="174">
        <f>VLOOKUP($V$18,'DATA QUARTILE'!$C:$J,2,FALSE)</f>
        <v>0</v>
      </c>
      <c r="X20" s="177">
        <f>ROUND(VLOOKUP($V$18,'DATA QUARTILE'!$C:$J,8,FALSE),0)</f>
        <v>0</v>
      </c>
      <c r="Y20" s="172"/>
      <c r="Z20" s="174" t="e">
        <f>VLOOKUP($Y$18,'DATA QUARTILE'!$C:$J,2,FALSE)</f>
        <v>#N/A</v>
      </c>
      <c r="AA20" s="177" t="e">
        <f>ROUND(VLOOKUP($Y$18,'DATA QUARTILE'!$C:$J,8,FALSE),0)</f>
        <v>#N/A</v>
      </c>
    </row>
    <row r="21" spans="2:27">
      <c r="B21" s="2"/>
      <c r="S21" s="51"/>
      <c r="V21" s="172" t="s">
        <v>166</v>
      </c>
      <c r="W21" s="174">
        <f>VLOOKUP($V$18,'DATA QUARTILE'!$C:$J,4,FALSE)</f>
        <v>0</v>
      </c>
      <c r="X21" s="177">
        <f>X20</f>
        <v>0</v>
      </c>
      <c r="Y21" s="172" t="s">
        <v>167</v>
      </c>
      <c r="Z21" s="174" t="e">
        <f>VLOOKUP($Y$18,'DATA QUARTILE'!$C:$J,4,FALSE)</f>
        <v>#N/A</v>
      </c>
      <c r="AA21" s="177" t="e">
        <f>AA20</f>
        <v>#N/A</v>
      </c>
    </row>
    <row r="22" spans="2:27">
      <c r="B22" s="2"/>
      <c r="S22" s="51"/>
      <c r="V22" s="172" t="s">
        <v>168</v>
      </c>
      <c r="W22" s="174">
        <f>VLOOKUP($V$18,'DATA QUARTILE'!$C:$J,5,FALSE)</f>
        <v>0</v>
      </c>
      <c r="X22" s="177">
        <f>X21</f>
        <v>0</v>
      </c>
      <c r="Y22" s="172" t="s">
        <v>169</v>
      </c>
      <c r="Z22" s="174" t="e">
        <f>VLOOKUP($Y$18,'DATA QUARTILE'!$C:$J,5,FALSE)</f>
        <v>#N/A</v>
      </c>
      <c r="AA22" s="177" t="e">
        <f>AA21</f>
        <v>#N/A</v>
      </c>
    </row>
    <row r="23" spans="2:27">
      <c r="B23" s="2"/>
      <c r="S23" s="51"/>
      <c r="V23" s="172" t="s">
        <v>170</v>
      </c>
      <c r="W23" s="174">
        <f>VLOOKUP($V$18,'DATA QUARTILE'!$C:$J,6,FALSE)</f>
        <v>0</v>
      </c>
      <c r="X23" s="177">
        <f>X22</f>
        <v>0</v>
      </c>
      <c r="Y23" s="172" t="s">
        <v>171</v>
      </c>
      <c r="Z23" s="174" t="e">
        <f>VLOOKUP($Y$18,'DATA QUARTILE'!$C:$J,6,FALSE)</f>
        <v>#N/A</v>
      </c>
      <c r="AA23" s="177" t="e">
        <f>AA22</f>
        <v>#N/A</v>
      </c>
    </row>
    <row r="24" spans="2:27">
      <c r="B24" s="2"/>
      <c r="S24" s="51"/>
      <c r="V24" s="172" t="s">
        <v>172</v>
      </c>
      <c r="W24" s="174">
        <f>VLOOKUP($V$18,'DATA QUARTILE'!$C:$J,7,FALSE)</f>
        <v>0</v>
      </c>
      <c r="X24" s="177">
        <f>X23</f>
        <v>0</v>
      </c>
      <c r="Y24" s="172" t="s">
        <v>173</v>
      </c>
      <c r="Z24" s="174" t="e">
        <f>VLOOKUP($Y$18,'DATA QUARTILE'!$C:$J,7,FALSE)</f>
        <v>#N/A</v>
      </c>
      <c r="AA24" s="177" t="e">
        <f>AA23</f>
        <v>#N/A</v>
      </c>
    </row>
    <row r="25" spans="2:27">
      <c r="B25" s="2"/>
      <c r="S25" s="51"/>
      <c r="V25" s="175" t="s">
        <v>174</v>
      </c>
      <c r="W25" s="176">
        <f>VLOOKUP($V$18,'DATA QUARTILE'!$C:$J,3,FALSE)</f>
        <v>0</v>
      </c>
      <c r="X25" s="178">
        <f>X24</f>
        <v>0</v>
      </c>
      <c r="Y25" s="175"/>
      <c r="Z25" s="176" t="e">
        <f>VLOOKUP($Y$18,'DATA QUARTILE'!$C:$J,3,FALSE)</f>
        <v>#N/A</v>
      </c>
      <c r="AA25" s="178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7109375" bestFit="1" customWidth="1"/>
    <col min="23" max="23" width="11.42578125" customWidth="1"/>
    <col min="24" max="24" width="9.42578125" bestFit="1" customWidth="1"/>
    <col min="25" max="25" width="35.7109375" bestFit="1" customWidth="1"/>
    <col min="26" max="27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62" t="str">
        <f>'Page de garde'!C13&amp;" : Analyse de la dépense médicale optique"</f>
        <v xml:space="preserve"> : Analyse de la dépense médicale optique</v>
      </c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4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79"/>
    </row>
    <row r="17" spans="2:27">
      <c r="B17" s="2"/>
      <c r="S17" s="51"/>
    </row>
    <row r="18" spans="2:27">
      <c r="B18" s="2"/>
      <c r="S18" s="51"/>
      <c r="V18" s="180" t="str">
        <f>'DATA QUARTILE'!C3</f>
        <v>APPAREILLAGE REFUSE</v>
      </c>
      <c r="W18" s="170"/>
      <c r="X18" s="171"/>
      <c r="Y18" s="180"/>
      <c r="Z18" s="170"/>
      <c r="AA18" s="171"/>
    </row>
    <row r="19" spans="2:27">
      <c r="B19" s="2"/>
      <c r="S19" s="51"/>
      <c r="V19" s="172"/>
      <c r="X19" s="173" t="s">
        <v>164</v>
      </c>
      <c r="Y19" s="172"/>
      <c r="AA19" s="173" t="s">
        <v>164</v>
      </c>
    </row>
    <row r="20" spans="2:27">
      <c r="B20" s="2"/>
      <c r="S20" s="51"/>
      <c r="V20" s="172" t="s">
        <v>165</v>
      </c>
      <c r="W20" s="174">
        <f>VLOOKUP($V$18,'DATA QUARTILE'!$C:$J,2,FALSE)</f>
        <v>0</v>
      </c>
      <c r="X20" s="177">
        <f>ROUND(VLOOKUP($V$18,'DATA QUARTILE'!$C:$J,8,FALSE),0)</f>
        <v>0</v>
      </c>
      <c r="Y20" s="172"/>
      <c r="Z20" s="174" t="e">
        <f>VLOOKUP($Y$18,'DATA QUARTILE'!$C:$J,2,FALSE)</f>
        <v>#N/A</v>
      </c>
      <c r="AA20" s="177" t="e">
        <f>ROUND(VLOOKUP($Y$18,'DATA QUARTILE'!$C:$J,8,FALSE),0)</f>
        <v>#N/A</v>
      </c>
    </row>
    <row r="21" spans="2:27">
      <c r="B21" s="2"/>
      <c r="S21" s="51"/>
      <c r="V21" s="172" t="s">
        <v>166</v>
      </c>
      <c r="W21" s="174">
        <f>VLOOKUP($V$18,'DATA QUARTILE'!$C:$J,4,FALSE)</f>
        <v>0</v>
      </c>
      <c r="X21" s="177">
        <f>X20</f>
        <v>0</v>
      </c>
      <c r="Y21" s="172" t="s">
        <v>167</v>
      </c>
      <c r="Z21" s="174" t="e">
        <f>VLOOKUP($Y$18,'DATA QUARTILE'!$C:$J,4,FALSE)</f>
        <v>#N/A</v>
      </c>
      <c r="AA21" s="177" t="e">
        <f>AA20</f>
        <v>#N/A</v>
      </c>
    </row>
    <row r="22" spans="2:27">
      <c r="B22" s="2"/>
      <c r="S22" s="51"/>
      <c r="V22" s="172" t="s">
        <v>168</v>
      </c>
      <c r="W22" s="174">
        <f>VLOOKUP($V$18,'DATA QUARTILE'!$C:$J,5,FALSE)</f>
        <v>0</v>
      </c>
      <c r="X22" s="177">
        <f>X21</f>
        <v>0</v>
      </c>
      <c r="Y22" s="172" t="s">
        <v>169</v>
      </c>
      <c r="Z22" s="174" t="e">
        <f>VLOOKUP($Y$18,'DATA QUARTILE'!$C:$J,5,FALSE)</f>
        <v>#N/A</v>
      </c>
      <c r="AA22" s="177" t="e">
        <f>AA21</f>
        <v>#N/A</v>
      </c>
    </row>
    <row r="23" spans="2:27">
      <c r="B23" s="2"/>
      <c r="S23" s="51"/>
      <c r="V23" s="172" t="s">
        <v>170</v>
      </c>
      <c r="W23" s="174">
        <f>VLOOKUP($V$18,'DATA QUARTILE'!$C:$J,6,FALSE)</f>
        <v>0</v>
      </c>
      <c r="X23" s="177">
        <f>X22</f>
        <v>0</v>
      </c>
      <c r="Y23" s="172" t="s">
        <v>171</v>
      </c>
      <c r="Z23" s="174" t="e">
        <f>VLOOKUP($Y$18,'DATA QUARTILE'!$C:$J,6,FALSE)</f>
        <v>#N/A</v>
      </c>
      <c r="AA23" s="177" t="e">
        <f>AA22</f>
        <v>#N/A</v>
      </c>
    </row>
    <row r="24" spans="2:27">
      <c r="B24" s="2"/>
      <c r="S24" s="51"/>
      <c r="V24" s="172" t="s">
        <v>172</v>
      </c>
      <c r="W24" s="174">
        <f>VLOOKUP($V$18,'DATA QUARTILE'!$C:$J,7,FALSE)</f>
        <v>0</v>
      </c>
      <c r="X24" s="177">
        <f>X23</f>
        <v>0</v>
      </c>
      <c r="Y24" s="172" t="s">
        <v>173</v>
      </c>
      <c r="Z24" s="174" t="e">
        <f>VLOOKUP($Y$18,'DATA QUARTILE'!$C:$J,7,FALSE)</f>
        <v>#N/A</v>
      </c>
      <c r="AA24" s="177" t="e">
        <f>AA23</f>
        <v>#N/A</v>
      </c>
    </row>
    <row r="25" spans="2:27">
      <c r="B25" s="2"/>
      <c r="S25" s="51"/>
      <c r="V25" s="175" t="s">
        <v>174</v>
      </c>
      <c r="W25" s="176">
        <f>VLOOKUP($V$18,'DATA QUARTILE'!$C:$J,3,FALSE)</f>
        <v>0</v>
      </c>
      <c r="X25" s="178">
        <f>X24</f>
        <v>0</v>
      </c>
      <c r="Y25" s="175"/>
      <c r="Z25" s="176" t="e">
        <f>VLOOKUP($Y$18,'DATA QUARTILE'!$C:$J,3,FALSE)</f>
        <v>#N/A</v>
      </c>
      <c r="AA25" s="178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4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62" t="str">
        <f>'Page de garde'!C13&amp;" : Analyse de la dépense médicale dentaire"</f>
        <v xml:space="preserve"> : Analyse de la dépense médicale dentaire</v>
      </c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4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79"/>
    </row>
    <row r="17" spans="2:27">
      <c r="B17" s="2"/>
      <c r="S17" s="51"/>
    </row>
    <row r="18" spans="2:27">
      <c r="B18" s="2"/>
      <c r="S18" s="51"/>
      <c r="V18" s="180" t="str">
        <f>'DATA QUARTILE'!C4</f>
        <v>AUTRES</v>
      </c>
      <c r="W18" s="170"/>
      <c r="X18" s="171"/>
      <c r="Y18" s="180"/>
      <c r="Z18" s="170"/>
      <c r="AA18" s="171"/>
    </row>
    <row r="19" spans="2:27">
      <c r="B19" s="2"/>
      <c r="S19" s="51"/>
      <c r="V19" s="172"/>
      <c r="X19" s="173" t="s">
        <v>164</v>
      </c>
      <c r="Y19" s="172"/>
      <c r="AA19" s="173" t="s">
        <v>164</v>
      </c>
    </row>
    <row r="20" spans="2:27">
      <c r="B20" s="2"/>
      <c r="S20" s="51"/>
      <c r="V20" s="172" t="s">
        <v>165</v>
      </c>
      <c r="W20" s="174">
        <f>VLOOKUP($V$18,'DATA QUARTILE'!$C:$J,2,FALSE)</f>
        <v>0</v>
      </c>
      <c r="X20" s="177">
        <f>ROUND(VLOOKUP($V$18,'DATA QUARTILE'!$C:$J,8,FALSE),0)</f>
        <v>0</v>
      </c>
      <c r="Y20" s="172"/>
      <c r="Z20" s="174" t="e">
        <f>VLOOKUP($Y$18,'DATA QUARTILE'!$C:$J,2,FALSE)</f>
        <v>#N/A</v>
      </c>
      <c r="AA20" s="177" t="e">
        <f>ROUND(VLOOKUP($Y$18,'DATA QUARTILE'!$C:$J,8,FALSE),0)</f>
        <v>#N/A</v>
      </c>
    </row>
    <row r="21" spans="2:27">
      <c r="B21" s="2"/>
      <c r="S21" s="51"/>
      <c r="V21" s="172" t="s">
        <v>166</v>
      </c>
      <c r="W21" s="174">
        <f>VLOOKUP($V$18,'DATA QUARTILE'!$C:$J,4,FALSE)</f>
        <v>0</v>
      </c>
      <c r="X21" s="177">
        <f>X20</f>
        <v>0</v>
      </c>
      <c r="Y21" s="172" t="s">
        <v>167</v>
      </c>
      <c r="Z21" s="174" t="e">
        <f>VLOOKUP($Y$18,'DATA QUARTILE'!$C:$J,4,FALSE)</f>
        <v>#N/A</v>
      </c>
      <c r="AA21" s="177" t="e">
        <f>AA20</f>
        <v>#N/A</v>
      </c>
    </row>
    <row r="22" spans="2:27">
      <c r="B22" s="2"/>
      <c r="S22" s="51"/>
      <c r="V22" s="172" t="s">
        <v>168</v>
      </c>
      <c r="W22" s="174">
        <f>VLOOKUP($V$18,'DATA QUARTILE'!$C:$J,5,FALSE)</f>
        <v>0</v>
      </c>
      <c r="X22" s="177">
        <f>X21</f>
        <v>0</v>
      </c>
      <c r="Y22" s="172" t="s">
        <v>169</v>
      </c>
      <c r="Z22" s="174" t="e">
        <f>VLOOKUP($Y$18,'DATA QUARTILE'!$C:$J,5,FALSE)</f>
        <v>#N/A</v>
      </c>
      <c r="AA22" s="177" t="e">
        <f>AA21</f>
        <v>#N/A</v>
      </c>
    </row>
    <row r="23" spans="2:27">
      <c r="B23" s="2"/>
      <c r="S23" s="51"/>
      <c r="V23" s="172" t="s">
        <v>170</v>
      </c>
      <c r="W23" s="174">
        <f>VLOOKUP($V$18,'DATA QUARTILE'!$C:$J,6,FALSE)</f>
        <v>0</v>
      </c>
      <c r="X23" s="177">
        <f>X22</f>
        <v>0</v>
      </c>
      <c r="Y23" s="172" t="s">
        <v>171</v>
      </c>
      <c r="Z23" s="174" t="e">
        <f>VLOOKUP($Y$18,'DATA QUARTILE'!$C:$J,6,FALSE)</f>
        <v>#N/A</v>
      </c>
      <c r="AA23" s="177" t="e">
        <f>AA22</f>
        <v>#N/A</v>
      </c>
    </row>
    <row r="24" spans="2:27">
      <c r="B24" s="2"/>
      <c r="S24" s="51"/>
      <c r="V24" s="172" t="s">
        <v>172</v>
      </c>
      <c r="W24" s="174">
        <f>VLOOKUP($V$18,'DATA QUARTILE'!$C:$J,7,FALSE)</f>
        <v>0</v>
      </c>
      <c r="X24" s="177">
        <f>X23</f>
        <v>0</v>
      </c>
      <c r="Y24" s="172" t="s">
        <v>173</v>
      </c>
      <c r="Z24" s="174" t="e">
        <f>VLOOKUP($Y$18,'DATA QUARTILE'!$C:$J,7,FALSE)</f>
        <v>#N/A</v>
      </c>
      <c r="AA24" s="177" t="e">
        <f>AA23</f>
        <v>#N/A</v>
      </c>
    </row>
    <row r="25" spans="2:27">
      <c r="B25" s="2"/>
      <c r="S25" s="51"/>
      <c r="V25" s="175" t="s">
        <v>174</v>
      </c>
      <c r="W25" s="176">
        <f>VLOOKUP($V$18,'DATA QUARTILE'!$C:$J,3,FALSE)</f>
        <v>0</v>
      </c>
      <c r="X25" s="178">
        <f>X24</f>
        <v>0</v>
      </c>
      <c r="Y25" s="175"/>
      <c r="Z25" s="176" t="e">
        <f>VLOOKUP($Y$18,'DATA QUARTILE'!$C:$J,3,FALSE)</f>
        <v>#N/A</v>
      </c>
      <c r="AA25" s="178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J1"/>
  <sheetViews>
    <sheetView zoomScale="85" zoomScaleNormal="85" workbookViewId="0">
      <selection activeCell="A2" sqref="A2:XFD176"/>
    </sheetView>
  </sheetViews>
  <sheetFormatPr defaultColWidth="11.42578125" defaultRowHeight="15"/>
  <cols>
    <col min="1" max="1" width="7.140625" bestFit="1" customWidth="1"/>
    <col min="2" max="2" width="21" bestFit="1" customWidth="1"/>
    <col min="3" max="3" width="4.7109375" bestFit="1" customWidth="1"/>
    <col min="4" max="4" width="9.5703125" bestFit="1" customWidth="1"/>
    <col min="5" max="5" width="8.7109375" bestFit="1" customWidth="1"/>
    <col min="6" max="6" width="25.85546875" bestFit="1" customWidth="1"/>
    <col min="7" max="7" width="14.5703125" bestFit="1" customWidth="1"/>
    <col min="8" max="8" width="20.140625" bestFit="1" customWidth="1"/>
    <col min="9" max="9" width="38" bestFit="1" customWidth="1"/>
    <col min="10" max="10" width="16.42578125" bestFit="1" customWidth="1"/>
    <col min="11" max="13" width="11.42578125" customWidth="1"/>
  </cols>
  <sheetData>
    <row r="1" spans="1:10">
      <c r="A1" t="s">
        <v>175</v>
      </c>
      <c r="B1" t="s">
        <v>176</v>
      </c>
      <c r="C1" t="s">
        <v>177</v>
      </c>
      <c r="D1" t="s">
        <v>178</v>
      </c>
      <c r="E1" t="s">
        <v>179</v>
      </c>
      <c r="F1" t="s">
        <v>180</v>
      </c>
      <c r="G1" t="s">
        <v>181</v>
      </c>
      <c r="H1" t="s">
        <v>182</v>
      </c>
      <c r="I1" t="s">
        <v>183</v>
      </c>
      <c r="J1" t="s">
        <v>184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1"/>
  <sheetViews>
    <sheetView workbookViewId="0">
      <selection sqref="A1:B1048576"/>
    </sheetView>
  </sheetViews>
  <sheetFormatPr defaultColWidth="11.42578125" defaultRowHeight="15"/>
  <cols>
    <col min="1" max="2" width="11.42578125" style="168" customWidth="1"/>
    <col min="3" max="3" width="16.140625" bestFit="1" customWidth="1"/>
    <col min="4" max="4" width="37.7109375" bestFit="1" customWidth="1"/>
    <col min="5" max="5" width="11.42578125" customWidth="1"/>
    <col min="6" max="6" width="18" bestFit="1" customWidth="1"/>
    <col min="7" max="7" width="16.42578125" bestFit="1" customWidth="1"/>
    <col min="8" max="8" width="18.140625" bestFit="1" customWidth="1"/>
    <col min="9" max="11" width="11.42578125" customWidth="1"/>
  </cols>
  <sheetData>
    <row r="1" spans="1:8">
      <c r="A1" s="168" t="s">
        <v>185</v>
      </c>
      <c r="B1" s="168" t="s">
        <v>186</v>
      </c>
      <c r="C1" t="s">
        <v>187</v>
      </c>
      <c r="D1" t="s">
        <v>188</v>
      </c>
      <c r="E1" t="s">
        <v>175</v>
      </c>
      <c r="F1" t="s">
        <v>189</v>
      </c>
      <c r="G1" t="s">
        <v>184</v>
      </c>
      <c r="H1" t="s">
        <v>190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R2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defaultColWidth="11.42578125" defaultRowHeight="15"/>
  <cols>
    <col min="1" max="1" width="10.85546875" style="168" bestFit="1" customWidth="1"/>
    <col min="2" max="2" width="17.5703125" bestFit="1" customWidth="1"/>
    <col min="3" max="3" width="18.5703125" bestFit="1" customWidth="1"/>
    <col min="4" max="4" width="11.5703125" bestFit="1" customWidth="1"/>
    <col min="5" max="6" width="31.85546875" bestFit="1" customWidth="1"/>
    <col min="7" max="7" width="17.7109375" bestFit="1" customWidth="1"/>
    <col min="8" max="8" width="10.140625" bestFit="1" customWidth="1"/>
    <col min="9" max="9" width="11.28515625" bestFit="1" customWidth="1"/>
    <col min="10" max="10" width="9.7109375" bestFit="1" customWidth="1"/>
    <col min="11" max="11" width="13.28515625" bestFit="1" customWidth="1"/>
    <col min="12" max="12" width="11.28515625" bestFit="1" customWidth="1"/>
    <col min="13" max="13" width="7.85546875" bestFit="1" customWidth="1"/>
    <col min="14" max="14" width="7" bestFit="1" customWidth="1"/>
    <col min="15" max="15" width="7.7109375" bestFit="1" customWidth="1"/>
    <col min="16" max="16" width="9.85546875" bestFit="1" customWidth="1"/>
    <col min="17" max="17" width="10.28515625" bestFit="1" customWidth="1"/>
    <col min="18" max="18" width="21.5703125" bestFit="1" customWidth="1"/>
    <col min="19" max="22" width="11.42578125" customWidth="1"/>
    <col min="23" max="23" width="33.42578125" bestFit="1" customWidth="1"/>
    <col min="24" max="30" width="11.42578125" customWidth="1"/>
  </cols>
  <sheetData>
    <row r="1" spans="1:18">
      <c r="A1" s="168" t="s">
        <v>191</v>
      </c>
      <c r="B1" t="s">
        <v>187</v>
      </c>
      <c r="C1" t="s">
        <v>188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184</v>
      </c>
    </row>
    <row r="2" spans="1:18">
      <c r="A2" s="168">
        <v>44742</v>
      </c>
      <c r="B2" t="s">
        <v>206</v>
      </c>
      <c r="C2" t="s">
        <v>10</v>
      </c>
      <c r="D2">
        <v>2021</v>
      </c>
      <c r="E2" t="s">
        <v>133</v>
      </c>
      <c r="F2" t="s">
        <v>131</v>
      </c>
      <c r="G2" t="s">
        <v>207</v>
      </c>
      <c r="H2">
        <v>2</v>
      </c>
      <c r="I2">
        <v>6.08</v>
      </c>
      <c r="J2">
        <v>3.65</v>
      </c>
      <c r="K2">
        <v>0</v>
      </c>
      <c r="L2">
        <v>2.4300000000000002</v>
      </c>
      <c r="M2" t="s">
        <v>208</v>
      </c>
      <c r="N2">
        <v>1.35</v>
      </c>
      <c r="O2">
        <v>4.7300000000000004</v>
      </c>
      <c r="P2">
        <v>0.54</v>
      </c>
      <c r="Q2">
        <v>1.89</v>
      </c>
    </row>
  </sheetData>
  <sortState ref="A2:R45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Q20"/>
  <sheetViews>
    <sheetView zoomScale="70" zoomScaleNormal="70" workbookViewId="0">
      <pane ySplit="1" topLeftCell="A2" activePane="bottomLeft" state="frozen"/>
      <selection pane="bottomLeft" sqref="A1:A1048576"/>
    </sheetView>
  </sheetViews>
  <sheetFormatPr defaultColWidth="11.42578125" defaultRowHeight="15"/>
  <cols>
    <col min="1" max="1" width="12.42578125" style="168" bestFit="1" customWidth="1"/>
    <col min="2" max="2" width="20.1406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21.140625" bestFit="1" customWidth="1"/>
    <col min="8" max="8" width="12.140625" bestFit="1" customWidth="1"/>
    <col min="9" max="10" width="15.85546875" bestFit="1" customWidth="1"/>
    <col min="11" max="11" width="15.28515625" bestFit="1" customWidth="1"/>
    <col min="12" max="12" width="15.85546875" bestFit="1" customWidth="1"/>
    <col min="13" max="13" width="9.5703125" bestFit="1" customWidth="1"/>
    <col min="14" max="14" width="13.5703125" bestFit="1" customWidth="1"/>
    <col min="15" max="15" width="10" bestFit="1" customWidth="1"/>
    <col min="16" max="16" width="14.85546875" bestFit="1" customWidth="1"/>
    <col min="17" max="17" width="11.7109375" bestFit="1" customWidth="1"/>
    <col min="18" max="18" width="10" bestFit="1" customWidth="1"/>
    <col min="19" max="19" width="14.85546875" bestFit="1" customWidth="1"/>
    <col min="20" max="20" width="11.7109375" bestFit="1" customWidth="1"/>
    <col min="21" max="22" width="11.42578125" customWidth="1"/>
    <col min="23" max="23" width="33.42578125" bestFit="1" customWidth="1"/>
    <col min="24" max="30" width="11.42578125" customWidth="1"/>
  </cols>
  <sheetData>
    <row r="1" spans="1:17">
      <c r="A1" s="168" t="s">
        <v>191</v>
      </c>
      <c r="B1" t="s">
        <v>187</v>
      </c>
      <c r="C1" t="s">
        <v>188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</row>
    <row r="2" spans="1:17">
      <c r="A2" s="168">
        <v>44742</v>
      </c>
      <c r="B2" t="s">
        <v>206</v>
      </c>
      <c r="C2" t="s">
        <v>10</v>
      </c>
      <c r="D2">
        <v>2021</v>
      </c>
      <c r="E2" t="s">
        <v>99</v>
      </c>
      <c r="F2" t="s">
        <v>97</v>
      </c>
      <c r="G2" t="s">
        <v>207</v>
      </c>
      <c r="H2">
        <v>1</v>
      </c>
      <c r="I2">
        <v>355</v>
      </c>
      <c r="J2">
        <v>96.75</v>
      </c>
      <c r="K2">
        <v>120.94</v>
      </c>
      <c r="L2">
        <v>72.56</v>
      </c>
      <c r="M2" t="s">
        <v>208</v>
      </c>
      <c r="N2">
        <v>355</v>
      </c>
      <c r="O2">
        <v>355</v>
      </c>
      <c r="P2">
        <v>72.56</v>
      </c>
      <c r="Q2">
        <v>72.56</v>
      </c>
    </row>
    <row r="3" spans="1:17">
      <c r="A3" s="168">
        <v>44742</v>
      </c>
      <c r="B3" t="s">
        <v>8</v>
      </c>
      <c r="C3" t="s">
        <v>10</v>
      </c>
      <c r="D3">
        <v>2021</v>
      </c>
      <c r="E3" t="s">
        <v>99</v>
      </c>
      <c r="F3" t="s">
        <v>97</v>
      </c>
      <c r="G3" t="s">
        <v>207</v>
      </c>
      <c r="H3">
        <v>1</v>
      </c>
      <c r="I3">
        <v>355</v>
      </c>
      <c r="J3">
        <v>96.75</v>
      </c>
      <c r="K3">
        <v>120.94</v>
      </c>
      <c r="L3">
        <v>72.56</v>
      </c>
      <c r="M3" t="s">
        <v>208</v>
      </c>
      <c r="N3">
        <v>355</v>
      </c>
      <c r="O3">
        <v>355</v>
      </c>
      <c r="P3">
        <v>72.56</v>
      </c>
      <c r="Q3">
        <v>72.56</v>
      </c>
    </row>
    <row r="4" spans="1:17">
      <c r="A4" s="168">
        <v>44742</v>
      </c>
      <c r="B4" t="s">
        <v>206</v>
      </c>
      <c r="C4" t="s">
        <v>10</v>
      </c>
      <c r="D4">
        <v>2021</v>
      </c>
      <c r="E4" t="s">
        <v>118</v>
      </c>
      <c r="F4" t="s">
        <v>117</v>
      </c>
      <c r="G4" t="s">
        <v>207</v>
      </c>
      <c r="H4">
        <v>1</v>
      </c>
      <c r="I4">
        <v>690</v>
      </c>
      <c r="J4">
        <v>0.06</v>
      </c>
      <c r="K4">
        <v>115.93</v>
      </c>
      <c r="L4">
        <v>298.24</v>
      </c>
      <c r="M4" t="s">
        <v>208</v>
      </c>
      <c r="N4">
        <v>690</v>
      </c>
      <c r="O4">
        <v>690</v>
      </c>
      <c r="P4">
        <v>298.24</v>
      </c>
      <c r="Q4">
        <v>298.24</v>
      </c>
    </row>
    <row r="5" spans="1:17">
      <c r="A5" s="168">
        <v>44742</v>
      </c>
      <c r="B5" t="s">
        <v>8</v>
      </c>
      <c r="C5" t="s">
        <v>10</v>
      </c>
      <c r="D5">
        <v>2021</v>
      </c>
      <c r="E5" t="s">
        <v>118</v>
      </c>
      <c r="F5" t="s">
        <v>117</v>
      </c>
      <c r="G5" t="s">
        <v>207</v>
      </c>
      <c r="H5">
        <v>1</v>
      </c>
      <c r="I5">
        <v>690</v>
      </c>
      <c r="J5">
        <v>0.06</v>
      </c>
      <c r="K5">
        <v>115.93</v>
      </c>
      <c r="L5">
        <v>298.24</v>
      </c>
      <c r="M5" t="s">
        <v>208</v>
      </c>
      <c r="N5">
        <v>690</v>
      </c>
      <c r="O5">
        <v>690</v>
      </c>
      <c r="P5">
        <v>298.24</v>
      </c>
      <c r="Q5">
        <v>298.24</v>
      </c>
    </row>
    <row r="6" spans="1:17">
      <c r="A6" s="168">
        <v>44742</v>
      </c>
      <c r="B6" t="s">
        <v>209</v>
      </c>
      <c r="C6" t="s">
        <v>10</v>
      </c>
      <c r="D6">
        <v>2021</v>
      </c>
      <c r="E6" t="s">
        <v>133</v>
      </c>
      <c r="F6" t="s">
        <v>131</v>
      </c>
      <c r="G6" t="s">
        <v>207</v>
      </c>
      <c r="H6">
        <v>4</v>
      </c>
      <c r="I6">
        <v>220</v>
      </c>
      <c r="J6">
        <v>0</v>
      </c>
      <c r="K6">
        <v>-134.16</v>
      </c>
      <c r="L6">
        <v>354.16</v>
      </c>
      <c r="M6" t="s">
        <v>208</v>
      </c>
      <c r="N6">
        <v>-25</v>
      </c>
      <c r="O6">
        <v>55</v>
      </c>
      <c r="P6">
        <v>-7.5</v>
      </c>
      <c r="Q6">
        <v>88.54</v>
      </c>
    </row>
    <row r="7" spans="1:17">
      <c r="A7" s="168">
        <v>44742</v>
      </c>
      <c r="B7" t="s">
        <v>206</v>
      </c>
      <c r="C7" t="s">
        <v>10</v>
      </c>
      <c r="D7">
        <v>2021</v>
      </c>
      <c r="E7" t="s">
        <v>133</v>
      </c>
      <c r="F7" t="s">
        <v>131</v>
      </c>
      <c r="G7" t="s">
        <v>207</v>
      </c>
      <c r="H7">
        <v>17</v>
      </c>
      <c r="I7">
        <v>369.34000000000003</v>
      </c>
      <c r="J7">
        <v>239.82</v>
      </c>
      <c r="K7">
        <v>0</v>
      </c>
      <c r="L7">
        <v>109.52</v>
      </c>
      <c r="M7" t="s">
        <v>208</v>
      </c>
      <c r="N7">
        <v>-25</v>
      </c>
      <c r="O7">
        <v>55</v>
      </c>
      <c r="P7">
        <v>-7.5</v>
      </c>
      <c r="Q7">
        <v>88.54</v>
      </c>
    </row>
    <row r="8" spans="1:17">
      <c r="A8" s="168">
        <v>44742</v>
      </c>
      <c r="B8" t="s">
        <v>210</v>
      </c>
      <c r="C8" t="s">
        <v>10</v>
      </c>
      <c r="D8">
        <v>2021</v>
      </c>
      <c r="E8" t="s">
        <v>133</v>
      </c>
      <c r="F8" t="s">
        <v>131</v>
      </c>
      <c r="G8" t="s">
        <v>207</v>
      </c>
      <c r="H8">
        <v>2</v>
      </c>
      <c r="I8">
        <v>36.56</v>
      </c>
      <c r="J8">
        <v>21.94</v>
      </c>
      <c r="K8">
        <v>0</v>
      </c>
      <c r="L8">
        <v>20</v>
      </c>
      <c r="M8" t="s">
        <v>208</v>
      </c>
      <c r="N8">
        <v>-25</v>
      </c>
      <c r="O8">
        <v>55</v>
      </c>
      <c r="P8">
        <v>-7.5</v>
      </c>
      <c r="Q8">
        <v>88.54</v>
      </c>
    </row>
    <row r="9" spans="1:17">
      <c r="A9" s="168">
        <v>44742</v>
      </c>
      <c r="B9" t="s">
        <v>211</v>
      </c>
      <c r="C9" t="s">
        <v>10</v>
      </c>
      <c r="D9">
        <v>2021</v>
      </c>
      <c r="E9" t="s">
        <v>133</v>
      </c>
      <c r="F9" t="s">
        <v>131</v>
      </c>
      <c r="G9" t="s">
        <v>207</v>
      </c>
      <c r="H9">
        <v>2</v>
      </c>
      <c r="I9">
        <v>36.56</v>
      </c>
      <c r="J9">
        <v>21.94</v>
      </c>
      <c r="K9">
        <v>0</v>
      </c>
      <c r="L9">
        <v>40</v>
      </c>
      <c r="M9" t="s">
        <v>208</v>
      </c>
      <c r="N9">
        <v>-25</v>
      </c>
      <c r="O9">
        <v>55</v>
      </c>
      <c r="P9">
        <v>-7.5</v>
      </c>
      <c r="Q9">
        <v>88.54</v>
      </c>
    </row>
    <row r="10" spans="1:17">
      <c r="A10" s="168">
        <v>44742</v>
      </c>
      <c r="B10" t="s">
        <v>8</v>
      </c>
      <c r="C10" t="s">
        <v>10</v>
      </c>
      <c r="D10">
        <v>2021</v>
      </c>
      <c r="E10" t="s">
        <v>133</v>
      </c>
      <c r="F10" t="s">
        <v>131</v>
      </c>
      <c r="G10" t="s">
        <v>207</v>
      </c>
      <c r="H10">
        <v>4</v>
      </c>
      <c r="I10">
        <v>12.16</v>
      </c>
      <c r="J10">
        <v>7.3</v>
      </c>
      <c r="K10">
        <v>0</v>
      </c>
      <c r="L10">
        <v>4.8599999999999994</v>
      </c>
      <c r="M10" t="s">
        <v>208</v>
      </c>
      <c r="N10">
        <v>-25</v>
      </c>
      <c r="O10">
        <v>55</v>
      </c>
      <c r="P10">
        <v>-7.5</v>
      </c>
      <c r="Q10">
        <v>88.54</v>
      </c>
    </row>
    <row r="11" spans="1:17">
      <c r="A11" s="168">
        <v>44742</v>
      </c>
      <c r="B11" t="s">
        <v>212</v>
      </c>
      <c r="C11" t="s">
        <v>10</v>
      </c>
      <c r="D11">
        <v>2021</v>
      </c>
      <c r="E11" t="s">
        <v>133</v>
      </c>
      <c r="F11" t="s">
        <v>131</v>
      </c>
      <c r="G11" t="s">
        <v>207</v>
      </c>
      <c r="H11">
        <v>2</v>
      </c>
      <c r="I11">
        <v>36.56</v>
      </c>
      <c r="J11">
        <v>21.94</v>
      </c>
      <c r="K11">
        <v>0</v>
      </c>
      <c r="L11">
        <v>20</v>
      </c>
      <c r="M11" t="s">
        <v>208</v>
      </c>
      <c r="N11">
        <v>-25</v>
      </c>
      <c r="O11">
        <v>55</v>
      </c>
      <c r="P11">
        <v>-7.5</v>
      </c>
      <c r="Q11">
        <v>88.54</v>
      </c>
    </row>
    <row r="12" spans="1:17">
      <c r="A12" s="168">
        <v>44742</v>
      </c>
      <c r="B12" t="s">
        <v>213</v>
      </c>
      <c r="C12" t="s">
        <v>10</v>
      </c>
      <c r="D12">
        <v>2021</v>
      </c>
      <c r="E12" t="s">
        <v>133</v>
      </c>
      <c r="F12" t="s">
        <v>131</v>
      </c>
      <c r="G12" t="s">
        <v>207</v>
      </c>
      <c r="H12">
        <v>2</v>
      </c>
      <c r="I12">
        <v>36.56</v>
      </c>
      <c r="J12">
        <v>21.94</v>
      </c>
      <c r="K12">
        <v>0</v>
      </c>
      <c r="L12">
        <v>40</v>
      </c>
      <c r="M12" t="s">
        <v>208</v>
      </c>
      <c r="N12">
        <v>-25</v>
      </c>
      <c r="O12">
        <v>55</v>
      </c>
      <c r="P12">
        <v>-7.5</v>
      </c>
      <c r="Q12">
        <v>88.54</v>
      </c>
    </row>
    <row r="13" spans="1:17">
      <c r="A13" s="168">
        <v>44742</v>
      </c>
      <c r="B13" t="s">
        <v>209</v>
      </c>
      <c r="C13" t="s">
        <v>10</v>
      </c>
      <c r="D13">
        <v>2021</v>
      </c>
      <c r="E13" t="s">
        <v>134</v>
      </c>
      <c r="F13" t="s">
        <v>131</v>
      </c>
      <c r="G13" t="s">
        <v>207</v>
      </c>
      <c r="H13">
        <v>3</v>
      </c>
      <c r="I13">
        <v>86.95</v>
      </c>
      <c r="J13">
        <v>69.53</v>
      </c>
      <c r="K13">
        <v>0</v>
      </c>
      <c r="L13">
        <v>17.420000000000002</v>
      </c>
      <c r="M13" t="s">
        <v>208</v>
      </c>
      <c r="N13">
        <v>2</v>
      </c>
      <c r="O13">
        <v>80</v>
      </c>
      <c r="P13">
        <v>0.4</v>
      </c>
      <c r="Q13">
        <v>18.399999999999999</v>
      </c>
    </row>
    <row r="14" spans="1:17">
      <c r="A14" s="168">
        <v>44742</v>
      </c>
      <c r="B14" t="s">
        <v>206</v>
      </c>
      <c r="C14" t="s">
        <v>10</v>
      </c>
      <c r="D14">
        <v>2021</v>
      </c>
      <c r="E14" t="s">
        <v>134</v>
      </c>
      <c r="F14" t="s">
        <v>131</v>
      </c>
      <c r="G14" t="s">
        <v>207</v>
      </c>
      <c r="H14">
        <v>2</v>
      </c>
      <c r="I14">
        <v>115</v>
      </c>
      <c r="J14">
        <v>35.900000000000006</v>
      </c>
      <c r="K14">
        <v>25.65</v>
      </c>
      <c r="L14">
        <v>19.45</v>
      </c>
      <c r="M14" t="s">
        <v>208</v>
      </c>
      <c r="N14">
        <v>2</v>
      </c>
      <c r="O14">
        <v>80</v>
      </c>
      <c r="P14">
        <v>0.4</v>
      </c>
      <c r="Q14">
        <v>18.399999999999999</v>
      </c>
    </row>
    <row r="15" spans="1:17">
      <c r="A15" s="168">
        <v>44742</v>
      </c>
      <c r="B15" t="s">
        <v>214</v>
      </c>
      <c r="C15" t="s">
        <v>10</v>
      </c>
      <c r="D15">
        <v>2021</v>
      </c>
      <c r="E15" t="s">
        <v>134</v>
      </c>
      <c r="F15" t="s">
        <v>131</v>
      </c>
      <c r="G15" t="s">
        <v>207</v>
      </c>
      <c r="H15">
        <v>7</v>
      </c>
      <c r="I15">
        <v>306.95</v>
      </c>
      <c r="J15">
        <v>69.53</v>
      </c>
      <c r="K15">
        <v>-134.16</v>
      </c>
      <c r="L15">
        <v>371.58000000000004</v>
      </c>
      <c r="M15" t="s">
        <v>208</v>
      </c>
      <c r="N15">
        <v>2</v>
      </c>
      <c r="O15">
        <v>80</v>
      </c>
      <c r="P15">
        <v>0.4</v>
      </c>
      <c r="Q15">
        <v>18.399999999999999</v>
      </c>
    </row>
    <row r="16" spans="1:17">
      <c r="A16" s="168">
        <v>44742</v>
      </c>
      <c r="B16" t="s">
        <v>8</v>
      </c>
      <c r="C16" t="s">
        <v>10</v>
      </c>
      <c r="D16">
        <v>2021</v>
      </c>
      <c r="E16" t="s">
        <v>134</v>
      </c>
      <c r="F16" t="s">
        <v>131</v>
      </c>
      <c r="G16" t="s">
        <v>207</v>
      </c>
      <c r="H16">
        <v>15</v>
      </c>
      <c r="I16">
        <v>472.18</v>
      </c>
      <c r="J16">
        <v>268.42</v>
      </c>
      <c r="K16">
        <v>25.65</v>
      </c>
      <c r="L16">
        <v>124.11</v>
      </c>
      <c r="M16" t="s">
        <v>208</v>
      </c>
      <c r="N16">
        <v>2</v>
      </c>
      <c r="O16">
        <v>80</v>
      </c>
      <c r="P16">
        <v>0.4</v>
      </c>
      <c r="Q16">
        <v>18.399999999999999</v>
      </c>
    </row>
    <row r="17" spans="1:17">
      <c r="A17" s="168">
        <v>44742</v>
      </c>
      <c r="B17" t="s">
        <v>210</v>
      </c>
      <c r="C17" t="s">
        <v>10</v>
      </c>
      <c r="D17">
        <v>2020</v>
      </c>
      <c r="E17" t="s">
        <v>136</v>
      </c>
      <c r="F17" t="s">
        <v>131</v>
      </c>
      <c r="G17" t="s">
        <v>207</v>
      </c>
      <c r="H17">
        <v>2</v>
      </c>
      <c r="I17">
        <v>1.02</v>
      </c>
      <c r="J17">
        <v>0.66</v>
      </c>
      <c r="K17">
        <v>0</v>
      </c>
      <c r="L17">
        <v>60</v>
      </c>
      <c r="M17" t="s">
        <v>208</v>
      </c>
      <c r="N17">
        <v>0.51</v>
      </c>
      <c r="O17">
        <v>0.51</v>
      </c>
      <c r="P17">
        <v>30</v>
      </c>
      <c r="Q17">
        <v>40</v>
      </c>
    </row>
    <row r="18" spans="1:17">
      <c r="A18" s="168">
        <v>44742</v>
      </c>
      <c r="B18" t="s">
        <v>211</v>
      </c>
      <c r="C18" t="s">
        <v>10</v>
      </c>
      <c r="D18">
        <v>2020</v>
      </c>
      <c r="E18" t="s">
        <v>136</v>
      </c>
      <c r="F18" t="s">
        <v>131</v>
      </c>
      <c r="G18" t="s">
        <v>207</v>
      </c>
      <c r="H18">
        <v>2</v>
      </c>
      <c r="I18">
        <v>1.02</v>
      </c>
      <c r="J18">
        <v>0.66</v>
      </c>
      <c r="K18">
        <v>0</v>
      </c>
      <c r="L18">
        <v>80</v>
      </c>
      <c r="M18" t="s">
        <v>208</v>
      </c>
      <c r="N18">
        <v>0.51</v>
      </c>
      <c r="O18">
        <v>0.51</v>
      </c>
      <c r="P18">
        <v>30</v>
      </c>
      <c r="Q18">
        <v>40</v>
      </c>
    </row>
    <row r="19" spans="1:17">
      <c r="A19" s="168">
        <v>44742</v>
      </c>
      <c r="B19" t="s">
        <v>212</v>
      </c>
      <c r="C19" t="s">
        <v>10</v>
      </c>
      <c r="D19">
        <v>2020</v>
      </c>
      <c r="E19" t="s">
        <v>136</v>
      </c>
      <c r="F19" t="s">
        <v>131</v>
      </c>
      <c r="G19" t="s">
        <v>207</v>
      </c>
      <c r="H19">
        <v>2</v>
      </c>
      <c r="I19">
        <v>1.02</v>
      </c>
      <c r="J19">
        <v>0.66</v>
      </c>
      <c r="K19">
        <v>0</v>
      </c>
      <c r="L19">
        <v>60</v>
      </c>
      <c r="M19" t="s">
        <v>208</v>
      </c>
      <c r="N19">
        <v>0.51</v>
      </c>
      <c r="O19">
        <v>0.51</v>
      </c>
      <c r="P19">
        <v>30</v>
      </c>
      <c r="Q19">
        <v>40</v>
      </c>
    </row>
    <row r="20" spans="1:17">
      <c r="A20" s="168">
        <v>44742</v>
      </c>
      <c r="B20" t="s">
        <v>213</v>
      </c>
      <c r="C20" t="s">
        <v>10</v>
      </c>
      <c r="D20">
        <v>2020</v>
      </c>
      <c r="E20" t="s">
        <v>136</v>
      </c>
      <c r="F20" t="s">
        <v>131</v>
      </c>
      <c r="G20" t="s">
        <v>207</v>
      </c>
      <c r="H20">
        <v>2</v>
      </c>
      <c r="I20">
        <v>1.02</v>
      </c>
      <c r="J20">
        <v>0.66</v>
      </c>
      <c r="K20">
        <v>0</v>
      </c>
      <c r="L20">
        <v>80</v>
      </c>
      <c r="M20" t="s">
        <v>208</v>
      </c>
      <c r="N20">
        <v>0.51</v>
      </c>
      <c r="O20">
        <v>0.51</v>
      </c>
      <c r="P20">
        <v>30</v>
      </c>
      <c r="Q20">
        <v>40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</sheetPr>
  <dimension ref="A1:H2"/>
  <sheetViews>
    <sheetView zoomScale="70" zoomScaleNormal="70" workbookViewId="0">
      <selection sqref="A1:A1048576"/>
    </sheetView>
  </sheetViews>
  <sheetFormatPr defaultColWidth="11.42578125" defaultRowHeight="15"/>
  <cols>
    <col min="1" max="1" width="12.42578125" style="168" bestFit="1" customWidth="1"/>
    <col min="2" max="2" width="11.425781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12.5703125" bestFit="1" customWidth="1"/>
    <col min="8" max="8" width="20" bestFit="1" customWidth="1"/>
    <col min="9" max="14" width="11.42578125" customWidth="1"/>
  </cols>
  <sheetData>
    <row r="1" spans="1:8">
      <c r="A1" s="168" t="s">
        <v>191</v>
      </c>
      <c r="B1" t="s">
        <v>187</v>
      </c>
      <c r="C1" t="s">
        <v>188</v>
      </c>
      <c r="D1" t="s">
        <v>192</v>
      </c>
      <c r="E1" t="s">
        <v>193</v>
      </c>
      <c r="F1" t="s">
        <v>194</v>
      </c>
      <c r="G1" t="s">
        <v>215</v>
      </c>
      <c r="H1" t="s">
        <v>184</v>
      </c>
    </row>
    <row r="2" spans="1:8">
      <c r="A2" s="168">
        <v>44742</v>
      </c>
      <c r="B2" t="s">
        <v>206</v>
      </c>
      <c r="C2" t="s">
        <v>10</v>
      </c>
      <c r="D2">
        <v>2021</v>
      </c>
      <c r="E2" t="s">
        <v>133</v>
      </c>
      <c r="F2" t="s">
        <v>131</v>
      </c>
      <c r="G2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J75"/>
  <sheetViews>
    <sheetView workbookViewId="0">
      <selection activeCell="F26" sqref="F26"/>
    </sheetView>
  </sheetViews>
  <sheetFormatPr defaultColWidth="11.42578125" defaultRowHeight="15"/>
  <cols>
    <col min="1" max="1" width="14.140625" bestFit="1" customWidth="1"/>
    <col min="2" max="2" width="11.7109375" bestFit="1" customWidth="1"/>
    <col min="3" max="3" width="41.140625" bestFit="1" customWidth="1"/>
    <col min="4" max="10" width="12" customWidth="1"/>
    <col min="11" max="12" width="11.42578125" customWidth="1"/>
  </cols>
  <sheetData>
    <row r="1" spans="1:10">
      <c r="A1" t="s">
        <v>216</v>
      </c>
      <c r="B1" t="s">
        <v>217</v>
      </c>
      <c r="C1" t="s">
        <v>218</v>
      </c>
      <c r="D1" s="141" t="s">
        <v>219</v>
      </c>
      <c r="E1" s="141" t="s">
        <v>220</v>
      </c>
      <c r="F1" s="141" t="s">
        <v>221</v>
      </c>
      <c r="G1" s="141" t="s">
        <v>222</v>
      </c>
      <c r="H1" s="141" t="s">
        <v>223</v>
      </c>
      <c r="I1" s="141" t="s">
        <v>224</v>
      </c>
      <c r="J1" s="141" t="s">
        <v>164</v>
      </c>
    </row>
    <row r="2" spans="1:10">
      <c r="A2" s="139" t="s">
        <v>225</v>
      </c>
      <c r="B2" s="161" t="s">
        <v>90</v>
      </c>
      <c r="C2" s="161" t="s">
        <v>98</v>
      </c>
      <c r="D2" s="162">
        <v>0</v>
      </c>
      <c r="E2" s="162">
        <v>0</v>
      </c>
      <c r="F2" s="162">
        <v>0</v>
      </c>
      <c r="G2" s="162">
        <v>0</v>
      </c>
      <c r="H2" s="162">
        <v>0</v>
      </c>
      <c r="I2" s="162">
        <v>0</v>
      </c>
      <c r="J2" s="162">
        <v>0</v>
      </c>
    </row>
    <row r="3" spans="1:10">
      <c r="A3" s="139" t="s">
        <v>225</v>
      </c>
      <c r="B3" s="161" t="s">
        <v>90</v>
      </c>
      <c r="C3" s="161" t="s">
        <v>226</v>
      </c>
      <c r="D3" s="162">
        <v>0</v>
      </c>
      <c r="E3" s="162">
        <v>0</v>
      </c>
      <c r="F3" s="162">
        <v>0</v>
      </c>
      <c r="G3" s="162">
        <v>0</v>
      </c>
      <c r="H3" s="162">
        <v>0</v>
      </c>
      <c r="I3" s="162">
        <v>0</v>
      </c>
      <c r="J3" s="162">
        <v>0</v>
      </c>
    </row>
    <row r="4" spans="1:10">
      <c r="A4" s="139" t="s">
        <v>225</v>
      </c>
      <c r="B4" s="161" t="s">
        <v>90</v>
      </c>
      <c r="C4" s="161" t="s">
        <v>227</v>
      </c>
      <c r="D4" s="162">
        <v>0</v>
      </c>
      <c r="E4" s="162">
        <v>0</v>
      </c>
      <c r="F4" s="162">
        <v>0</v>
      </c>
      <c r="G4" s="162">
        <v>0</v>
      </c>
      <c r="H4" s="162">
        <v>0</v>
      </c>
      <c r="I4" s="162">
        <v>0</v>
      </c>
      <c r="J4" s="162">
        <v>0</v>
      </c>
    </row>
    <row r="5" spans="1:10">
      <c r="A5" s="139" t="s">
        <v>225</v>
      </c>
      <c r="B5" s="161" t="s">
        <v>90</v>
      </c>
      <c r="C5" s="161" t="s">
        <v>228</v>
      </c>
      <c r="D5" s="162">
        <v>0</v>
      </c>
      <c r="E5" s="162">
        <v>0</v>
      </c>
      <c r="F5" s="162">
        <v>0</v>
      </c>
      <c r="G5" s="162">
        <v>0</v>
      </c>
      <c r="H5" s="162">
        <v>0</v>
      </c>
      <c r="I5" s="162">
        <v>0</v>
      </c>
      <c r="J5" s="162">
        <v>0</v>
      </c>
    </row>
    <row r="6" spans="1:10">
      <c r="A6" s="139" t="s">
        <v>225</v>
      </c>
      <c r="B6" s="161" t="s">
        <v>90</v>
      </c>
      <c r="C6" s="161" t="s">
        <v>91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>
      <c r="A7" s="139" t="s">
        <v>225</v>
      </c>
      <c r="B7" s="161" t="s">
        <v>90</v>
      </c>
      <c r="C7" s="161" t="s">
        <v>129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>
      <c r="A8" s="139" t="s">
        <v>225</v>
      </c>
      <c r="B8" s="161" t="s">
        <v>90</v>
      </c>
      <c r="C8" s="161" t="s">
        <v>229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>
      <c r="A9" s="139" t="s">
        <v>225</v>
      </c>
      <c r="B9" s="161" t="s">
        <v>90</v>
      </c>
      <c r="C9" s="161" t="s">
        <v>89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>
      <c r="A10" s="139" t="s">
        <v>225</v>
      </c>
      <c r="B10" s="140" t="s">
        <v>230</v>
      </c>
      <c r="C10" s="140" t="s">
        <v>96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>
      <c r="A11" s="139" t="s">
        <v>225</v>
      </c>
      <c r="B11" s="140" t="s">
        <v>230</v>
      </c>
      <c r="C11" s="140" t="s">
        <v>231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>
      <c r="A12" s="139" t="s">
        <v>225</v>
      </c>
      <c r="B12" s="161" t="s">
        <v>97</v>
      </c>
      <c r="C12" s="161" t="s">
        <v>232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>
      <c r="A13" s="139" t="s">
        <v>225</v>
      </c>
      <c r="B13" s="161" t="s">
        <v>97</v>
      </c>
      <c r="C13" s="161" t="s">
        <v>233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>
      <c r="A14" s="139" t="s">
        <v>225</v>
      </c>
      <c r="B14" s="161" t="s">
        <v>97</v>
      </c>
      <c r="C14" s="161" t="s">
        <v>234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>
      <c r="A15" s="139" t="s">
        <v>225</v>
      </c>
      <c r="B15" s="161" t="s">
        <v>97</v>
      </c>
      <c r="C15" s="161" t="s">
        <v>235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>
      <c r="A16" s="139" t="s">
        <v>225</v>
      </c>
      <c r="B16" s="161" t="s">
        <v>97</v>
      </c>
      <c r="C16" s="161" t="s">
        <v>236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>
      <c r="A17" s="139" t="s">
        <v>225</v>
      </c>
      <c r="B17" s="161" t="s">
        <v>97</v>
      </c>
      <c r="C17" s="161" t="s">
        <v>237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>
      <c r="A18" s="139" t="s">
        <v>225</v>
      </c>
      <c r="B18" s="161" t="s">
        <v>97</v>
      </c>
      <c r="C18" s="161" t="s">
        <v>238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>
      <c r="A19" s="139" t="s">
        <v>225</v>
      </c>
      <c r="B19" s="161" t="s">
        <v>97</v>
      </c>
      <c r="C19" s="161" t="s">
        <v>239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>
      <c r="A20" s="139" t="s">
        <v>225</v>
      </c>
      <c r="B20" s="161" t="s">
        <v>97</v>
      </c>
      <c r="C20" s="161" t="s">
        <v>240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>
      <c r="A21" s="139" t="s">
        <v>225</v>
      </c>
      <c r="B21" s="161" t="s">
        <v>97</v>
      </c>
      <c r="C21" s="161" t="s">
        <v>241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>
      <c r="A22" s="139" t="s">
        <v>225</v>
      </c>
      <c r="B22" s="161" t="s">
        <v>97</v>
      </c>
      <c r="C22" s="161" t="s">
        <v>242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>
      <c r="A23" s="139" t="s">
        <v>225</v>
      </c>
      <c r="B23" s="161" t="s">
        <v>97</v>
      </c>
      <c r="C23" s="161" t="s">
        <v>243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>
      <c r="A24" s="139" t="s">
        <v>225</v>
      </c>
      <c r="B24" s="161" t="s">
        <v>97</v>
      </c>
      <c r="C24" s="161" t="s">
        <v>244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>
      <c r="A25" s="139" t="s">
        <v>225</v>
      </c>
      <c r="B25" s="161" t="s">
        <v>97</v>
      </c>
      <c r="C25" s="161" t="s">
        <v>245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>
      <c r="A26" s="139" t="s">
        <v>225</v>
      </c>
      <c r="B26" s="161" t="s">
        <v>97</v>
      </c>
      <c r="C26" s="161" t="s">
        <v>246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>
      <c r="A27" s="139" t="s">
        <v>225</v>
      </c>
      <c r="B27" s="161" t="s">
        <v>97</v>
      </c>
      <c r="C27" s="161" t="s">
        <v>247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>
      <c r="A28" s="139" t="s">
        <v>225</v>
      </c>
      <c r="B28" s="161" t="s">
        <v>97</v>
      </c>
      <c r="C28" s="161" t="s">
        <v>248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 s="139" t="s">
        <v>225</v>
      </c>
      <c r="B29" s="161" t="s">
        <v>97</v>
      </c>
      <c r="C29" s="161" t="s">
        <v>249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 s="139" t="s">
        <v>225</v>
      </c>
      <c r="B30" s="161" t="s">
        <v>97</v>
      </c>
      <c r="C30" s="161" t="s">
        <v>250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 s="139" t="s">
        <v>225</v>
      </c>
      <c r="B31" s="161" t="s">
        <v>97</v>
      </c>
      <c r="C31" s="161" t="s">
        <v>251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 s="139" t="s">
        <v>225</v>
      </c>
      <c r="B32" s="161" t="s">
        <v>97</v>
      </c>
      <c r="C32" s="161" t="s">
        <v>252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 s="139" t="s">
        <v>225</v>
      </c>
      <c r="B33" s="161" t="s">
        <v>97</v>
      </c>
      <c r="C33" s="161" t="s">
        <v>253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 s="139" t="s">
        <v>225</v>
      </c>
      <c r="B34" s="161" t="s">
        <v>97</v>
      </c>
      <c r="C34" s="161" t="s">
        <v>254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 s="139" t="s">
        <v>225</v>
      </c>
      <c r="B35" s="161" t="s">
        <v>97</v>
      </c>
      <c r="C35" s="161" t="s">
        <v>255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 s="139" t="s">
        <v>225</v>
      </c>
      <c r="B36" s="161" t="s">
        <v>97</v>
      </c>
      <c r="C36" s="161" t="s">
        <v>256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 s="139" t="s">
        <v>225</v>
      </c>
      <c r="B37" s="161" t="s">
        <v>97</v>
      </c>
      <c r="C37" s="161" t="s">
        <v>257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 s="139" t="s">
        <v>225</v>
      </c>
      <c r="B38" s="161" t="s">
        <v>97</v>
      </c>
      <c r="C38" s="161" t="s">
        <v>258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 s="139" t="s">
        <v>225</v>
      </c>
      <c r="B39" s="161" t="s">
        <v>97</v>
      </c>
      <c r="C39" s="161" t="s">
        <v>259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 s="139" t="s">
        <v>225</v>
      </c>
      <c r="B40" s="161" t="s">
        <v>97</v>
      </c>
      <c r="C40" s="161" t="s">
        <v>104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 s="139" t="s">
        <v>225</v>
      </c>
      <c r="B41" s="161" t="s">
        <v>97</v>
      </c>
      <c r="C41" s="161" t="s">
        <v>260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 s="139" t="s">
        <v>225</v>
      </c>
      <c r="B42" s="161" t="s">
        <v>105</v>
      </c>
      <c r="C42" s="161" t="s">
        <v>261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 s="139" t="s">
        <v>225</v>
      </c>
      <c r="B43" s="161" t="s">
        <v>105</v>
      </c>
      <c r="C43" s="161" t="s">
        <v>106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 s="139" t="s">
        <v>225</v>
      </c>
      <c r="B44" s="161" t="s">
        <v>105</v>
      </c>
      <c r="C44" s="161" t="s">
        <v>107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139" t="s">
        <v>225</v>
      </c>
      <c r="B45" s="161" t="s">
        <v>105</v>
      </c>
      <c r="C45" s="161" t="s">
        <v>262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139" t="s">
        <v>225</v>
      </c>
      <c r="B46" s="161" t="s">
        <v>105</v>
      </c>
      <c r="C46" s="161" t="s">
        <v>111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139" t="s">
        <v>225</v>
      </c>
      <c r="B47" s="161" t="s">
        <v>105</v>
      </c>
      <c r="C47" s="161" t="s">
        <v>263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139" t="s">
        <v>225</v>
      </c>
      <c r="B48" s="161" t="s">
        <v>105</v>
      </c>
      <c r="C48" s="161" t="s">
        <v>264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139" t="s">
        <v>225</v>
      </c>
      <c r="B49" s="161" t="s">
        <v>265</v>
      </c>
      <c r="C49" s="161" t="s">
        <v>266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139" t="s">
        <v>225</v>
      </c>
      <c r="B50" s="140" t="s">
        <v>267</v>
      </c>
      <c r="C50" s="140" t="s">
        <v>268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139" t="s">
        <v>225</v>
      </c>
      <c r="B51" s="140" t="s">
        <v>267</v>
      </c>
      <c r="C51" s="140" t="s">
        <v>269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139" t="s">
        <v>225</v>
      </c>
      <c r="B52" s="140" t="s">
        <v>267</v>
      </c>
      <c r="C52" s="140" t="s">
        <v>92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139" t="s">
        <v>225</v>
      </c>
      <c r="B53" s="140" t="s">
        <v>267</v>
      </c>
      <c r="C53" s="140" t="s">
        <v>270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139" t="s">
        <v>225</v>
      </c>
      <c r="B54" s="140" t="s">
        <v>267</v>
      </c>
      <c r="C54" s="140" t="s">
        <v>271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139" t="s">
        <v>225</v>
      </c>
      <c r="B55" s="140" t="s">
        <v>267</v>
      </c>
      <c r="C55" s="140" t="s">
        <v>272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>
      <c r="A56" s="139" t="s">
        <v>225</v>
      </c>
      <c r="B56" s="140" t="s">
        <v>267</v>
      </c>
      <c r="C56" s="140" t="s">
        <v>273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139" t="s">
        <v>225</v>
      </c>
      <c r="B57" s="161" t="s">
        <v>117</v>
      </c>
      <c r="C57" s="161" t="s">
        <v>274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139" t="s">
        <v>225</v>
      </c>
      <c r="B58" s="161" t="s">
        <v>117</v>
      </c>
      <c r="C58" s="161" t="s">
        <v>121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>
      <c r="A59" s="139" t="s">
        <v>225</v>
      </c>
      <c r="B59" s="161" t="s">
        <v>117</v>
      </c>
      <c r="C59" s="161" t="s">
        <v>275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139" t="s">
        <v>225</v>
      </c>
      <c r="B60" s="161" t="s">
        <v>117</v>
      </c>
      <c r="C60" s="161" t="s">
        <v>276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139" t="s">
        <v>225</v>
      </c>
      <c r="B61" s="161" t="s">
        <v>117</v>
      </c>
      <c r="C61" s="161" t="s">
        <v>277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139" t="s">
        <v>225</v>
      </c>
      <c r="B62" s="161" t="s">
        <v>117</v>
      </c>
      <c r="C62" s="161" t="s">
        <v>278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139" t="s">
        <v>225</v>
      </c>
      <c r="B63" s="161" t="s">
        <v>117</v>
      </c>
      <c r="C63" s="161" t="s">
        <v>127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139" t="s">
        <v>225</v>
      </c>
      <c r="B64" s="161" t="s">
        <v>117</v>
      </c>
      <c r="C64" s="161" t="s">
        <v>279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139" t="s">
        <v>225</v>
      </c>
      <c r="B65" s="161" t="s">
        <v>117</v>
      </c>
      <c r="C65" s="161" t="s">
        <v>280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139" t="s">
        <v>225</v>
      </c>
      <c r="B66" s="161" t="s">
        <v>117</v>
      </c>
      <c r="C66" s="161" t="s">
        <v>281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139" t="s">
        <v>225</v>
      </c>
      <c r="B67" s="161" t="s">
        <v>282</v>
      </c>
      <c r="C67" s="161" t="s">
        <v>136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139" t="s">
        <v>225</v>
      </c>
      <c r="B68" s="161" t="s">
        <v>128</v>
      </c>
      <c r="C68" s="161" t="s">
        <v>283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139" t="s">
        <v>225</v>
      </c>
      <c r="B69" s="161" t="s">
        <v>131</v>
      </c>
      <c r="C69" s="161" t="s">
        <v>284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139" t="s">
        <v>225</v>
      </c>
      <c r="B70" s="161" t="s">
        <v>131</v>
      </c>
      <c r="C70" s="161" t="s">
        <v>285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139" t="s">
        <v>225</v>
      </c>
      <c r="B71" s="161" t="s">
        <v>131</v>
      </c>
      <c r="C71" s="161" t="s">
        <v>132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139" t="s">
        <v>225</v>
      </c>
      <c r="B72" s="161" t="s">
        <v>131</v>
      </c>
      <c r="C72" s="161" t="s">
        <v>133</v>
      </c>
      <c r="D72">
        <v>1.35</v>
      </c>
      <c r="E72">
        <v>4.7300000000000004</v>
      </c>
      <c r="F72">
        <v>1.35</v>
      </c>
      <c r="G72">
        <v>4.7300000000000004</v>
      </c>
      <c r="H72">
        <v>4.7300000000000004</v>
      </c>
      <c r="I72">
        <v>4.7300000000000004</v>
      </c>
      <c r="J72">
        <v>3.04</v>
      </c>
    </row>
    <row r="73" spans="1:10">
      <c r="A73" s="139" t="s">
        <v>225</v>
      </c>
      <c r="B73" s="161" t="s">
        <v>131</v>
      </c>
      <c r="C73" s="161" t="s">
        <v>286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>
      <c r="A74" s="139" t="s">
        <v>225</v>
      </c>
      <c r="B74" s="161" t="s">
        <v>131</v>
      </c>
      <c r="C74" s="161" t="s">
        <v>287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>
      <c r="A75" s="139" t="s">
        <v>225</v>
      </c>
      <c r="B75" s="161" t="s">
        <v>131</v>
      </c>
      <c r="C75" s="161" t="s">
        <v>288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T6"/>
  <sheetViews>
    <sheetView tabSelected="1" zoomScaleNormal="100" workbookViewId="0">
      <selection activeCell="N2" sqref="N2"/>
    </sheetView>
  </sheetViews>
  <sheetFormatPr defaultColWidth="11.42578125" defaultRowHeight="15"/>
  <cols>
    <col min="1" max="1" width="20.28515625" bestFit="1" customWidth="1"/>
    <col min="2" max="2" width="11.855468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8" width="2" customWidth="1"/>
    <col min="19" max="19" width="22.140625" bestFit="1" customWidth="1"/>
    <col min="20" max="20" width="12.42578125" bestFit="1" customWidth="1"/>
  </cols>
  <sheetData>
    <row r="1" spans="1:20" s="216" customFormat="1">
      <c r="A1" s="215" t="s">
        <v>216</v>
      </c>
      <c r="B1" s="215" t="s">
        <v>217</v>
      </c>
      <c r="C1" s="215" t="s">
        <v>218</v>
      </c>
      <c r="D1" s="215"/>
      <c r="E1" s="215" t="s">
        <v>216</v>
      </c>
      <c r="F1" s="215" t="s">
        <v>217</v>
      </c>
      <c r="M1" s="215" t="s">
        <v>289</v>
      </c>
      <c r="N1" s="215" t="s">
        <v>290</v>
      </c>
      <c r="O1" s="215" t="s">
        <v>291</v>
      </c>
      <c r="S1" s="215" t="s">
        <v>292</v>
      </c>
      <c r="T1" s="215" t="s">
        <v>293</v>
      </c>
    </row>
    <row r="2" spans="1:20">
      <c r="A2" t="s">
        <v>294</v>
      </c>
      <c r="B2" t="s">
        <v>97</v>
      </c>
      <c r="C2" t="s">
        <v>99</v>
      </c>
      <c r="E2" t="s">
        <v>294</v>
      </c>
      <c r="F2" t="s">
        <v>97</v>
      </c>
      <c r="M2" t="s">
        <v>295</v>
      </c>
      <c r="N2" t="s">
        <v>296</v>
      </c>
      <c r="O2" t="s">
        <v>296</v>
      </c>
      <c r="S2" t="s">
        <v>297</v>
      </c>
    </row>
    <row r="3" spans="1:20">
      <c r="A3" t="s">
        <v>294</v>
      </c>
      <c r="B3" t="s">
        <v>117</v>
      </c>
      <c r="C3" t="s">
        <v>118</v>
      </c>
      <c r="E3" t="s">
        <v>294</v>
      </c>
      <c r="F3" t="s">
        <v>117</v>
      </c>
    </row>
    <row r="4" spans="1:20">
      <c r="A4" t="s">
        <v>294</v>
      </c>
      <c r="B4" t="s">
        <v>131</v>
      </c>
      <c r="C4" t="s">
        <v>133</v>
      </c>
      <c r="E4" t="s">
        <v>294</v>
      </c>
      <c r="F4" t="s">
        <v>131</v>
      </c>
    </row>
    <row r="5" spans="1:20">
      <c r="A5" t="s">
        <v>294</v>
      </c>
      <c r="B5" t="s">
        <v>131</v>
      </c>
      <c r="C5" t="s">
        <v>134</v>
      </c>
    </row>
    <row r="6" spans="1:20">
      <c r="A6" t="s">
        <v>294</v>
      </c>
      <c r="B6" t="s">
        <v>131</v>
      </c>
      <c r="C6" t="s">
        <v>136</v>
      </c>
    </row>
  </sheetData>
  <sortState ref="A4:C16">
    <sortCondition ref="A1:A1048549"/>
  </sortState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ColWidth="9.140625" defaultRowHeight="15"/>
  <cols>
    <col min="1" max="1" width="79.28515625" customWidth="1"/>
  </cols>
  <sheetData>
    <row r="1" spans="1:1">
      <c r="A1" t="s">
        <v>298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2"/>
  <sheetViews>
    <sheetView workbookViewId="0">
      <selection activeCell="A3" sqref="A3"/>
    </sheetView>
  </sheetViews>
  <sheetFormatPr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  <col min="4" max="8" width="11.42578125" customWidth="1"/>
  </cols>
  <sheetData>
    <row r="1" spans="1:7">
      <c r="A1" t="s">
        <v>299</v>
      </c>
      <c r="B1" t="s">
        <v>300</v>
      </c>
      <c r="C1" t="s">
        <v>184</v>
      </c>
    </row>
    <row r="2" spans="1:7">
      <c r="A2" t="s">
        <v>10</v>
      </c>
      <c r="B2" t="s">
        <v>10</v>
      </c>
      <c r="C2" t="s">
        <v>301</v>
      </c>
    </row>
    <row r="4" spans="1:7">
      <c r="G4" s="33"/>
    </row>
    <row r="416" spans="1:3">
      <c r="A416" s="131"/>
      <c r="B416" s="131"/>
      <c r="C416" s="131"/>
    </row>
    <row r="438" spans="1:3">
      <c r="A438" s="131"/>
      <c r="B438" s="131"/>
      <c r="C438" s="131"/>
    </row>
    <row r="441" spans="1:3">
      <c r="A441" s="131"/>
      <c r="B441" s="131"/>
      <c r="C441" s="131"/>
    </row>
    <row r="456" spans="1:3">
      <c r="A456" s="131"/>
      <c r="B456" s="131"/>
      <c r="C456" s="131"/>
    </row>
    <row r="478" spans="1:3">
      <c r="A478" s="131"/>
      <c r="B478" s="131"/>
      <c r="C478" s="131"/>
    </row>
    <row r="481" spans="1:3">
      <c r="A481" s="131"/>
      <c r="B481" s="131"/>
      <c r="C481" s="131"/>
    </row>
    <row r="494" spans="1:3">
      <c r="A494" s="45"/>
      <c r="B494" s="45"/>
      <c r="C494" s="45"/>
    </row>
    <row r="495" spans="1:3">
      <c r="A495" s="45"/>
      <c r="B495" s="45"/>
      <c r="C495" s="45"/>
    </row>
    <row r="496" spans="1:3">
      <c r="A496" s="45"/>
      <c r="B496" s="45"/>
      <c r="C496" s="45"/>
    </row>
    <row r="497" spans="1:3">
      <c r="A497" s="45"/>
      <c r="B497" s="45"/>
      <c r="C497" s="45"/>
    </row>
    <row r="498" spans="1:3">
      <c r="A498" s="45"/>
      <c r="B498" s="45"/>
      <c r="C498" s="45"/>
    </row>
    <row r="499" spans="1:3">
      <c r="A499" s="45"/>
      <c r="B499" s="45"/>
      <c r="C499" s="45"/>
    </row>
    <row r="500" spans="1:3">
      <c r="A500" s="45"/>
      <c r="B500" s="45"/>
      <c r="C500" s="45"/>
    </row>
    <row r="501" spans="1:3">
      <c r="A501" s="45"/>
      <c r="B501" s="45"/>
      <c r="C501" s="45"/>
    </row>
    <row r="502" spans="1:3">
      <c r="A502" s="45"/>
      <c r="B502" s="45"/>
      <c r="C502" s="45"/>
    </row>
    <row r="503" spans="1:3">
      <c r="A503" s="45"/>
      <c r="B503" s="45"/>
      <c r="C503" s="45"/>
    </row>
    <row r="504" spans="1:3">
      <c r="A504" s="131"/>
      <c r="B504" s="131"/>
      <c r="C504" s="131"/>
    </row>
    <row r="505" spans="1:3">
      <c r="A505" s="131"/>
      <c r="B505" s="131"/>
      <c r="C505" s="131"/>
    </row>
    <row r="506" spans="1:3">
      <c r="A506" s="131"/>
      <c r="B506" s="131"/>
      <c r="C506" s="131"/>
    </row>
    <row r="507" spans="1:3">
      <c r="A507" s="131"/>
      <c r="B507" s="131"/>
      <c r="C507" s="131"/>
    </row>
    <row r="508" spans="1:3">
      <c r="A508" s="131"/>
      <c r="B508" s="131"/>
      <c r="C508" s="131"/>
    </row>
    <row r="509" spans="1:3">
      <c r="A509" s="131"/>
      <c r="B509" s="131"/>
      <c r="C509" s="131"/>
    </row>
    <row r="512" spans="1:3">
      <c r="C512" s="13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0"/>
  </sheetPr>
  <dimension ref="A1:E1"/>
  <sheetViews>
    <sheetView workbookViewId="0">
      <selection sqref="A1:XFD2"/>
    </sheetView>
  </sheetViews>
  <sheetFormatPr defaultColWidth="11.42578125" defaultRowHeight="15"/>
  <cols>
    <col min="1" max="1" width="21.85546875" style="141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41" t="s">
        <v>302</v>
      </c>
      <c r="B1" t="s">
        <v>303</v>
      </c>
      <c r="C1" t="s">
        <v>304</v>
      </c>
      <c r="D1" t="s">
        <v>305</v>
      </c>
      <c r="E1" t="s">
        <v>306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9</vt:i4>
      </vt:variant>
    </vt:vector>
  </HeadingPairs>
  <TitlesOfParts>
    <vt:vector size="40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Démographie!Print_Area</vt:lpstr>
      <vt:lpstr>'Evolution effectifs'!Print_Area</vt:lpstr>
      <vt:lpstr>'Page de garde'!Print_Area</vt:lpstr>
      <vt:lpstr>'Prestations Réglées'!Print_Area</vt:lpstr>
      <vt:lpstr>'Prestations Réglées Graph'!Print_Area</vt:lpstr>
      <vt:lpstr>'Quartil garantie_1'!Print_Area</vt:lpstr>
      <vt:lpstr>'Quartil garantie_2'!Print_Area</vt:lpstr>
      <vt:lpstr>'Quartil garantie_3'!Print_Area</vt:lpstr>
      <vt:lpstr>Résultats!Print_Area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Robert</cp:lastModifiedBy>
  <cp:lastPrinted>2022-09-21T10:28:00Z</cp:lastPrinted>
  <dcterms:created xsi:type="dcterms:W3CDTF">2017-05-24T08:26:58Z</dcterms:created>
  <dcterms:modified xsi:type="dcterms:W3CDTF">2023-08-14T19:08:14Z</dcterms:modified>
</cp:coreProperties>
</file>