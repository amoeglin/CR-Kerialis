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<sst xmlns="http://schemas.openxmlformats.org/spreadsheetml/2006/main" count="307" uniqueCount="307">
  <si>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</si>
  <si>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</si>
  <si>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</si>
  <si>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</si>
  <si>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</si>
  <si>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</si>
  <si>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</si>
  <si>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</si>
  <si>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</si>
  <si>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</si>
  <si>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</si>
  <si>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</si>
  <si>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</si>
  <si>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</si>
  <si>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</si>
  <si>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</si>
  <si>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</si>
  <si>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</si>
  <si>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</si>
  <si>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</si>
  <si>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</si>
  <si>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</si>
  <si>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</si>
  <si>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</si>
  <si>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2021</t>
  </si>
  <si>
    <t>2,43</t>
  </si>
  <si>
    <t>0</t>
  </si>
  <si>
    <t>∞</t>
  </si>
  <si>
    <t>-2,43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</si>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</sst>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5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46" t="s">
        <v>8</v>
      </c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3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47" t="s">
        <v>15</v>
      </c>
      <c r="B1" s="247"/>
      <c r="C1" s="247"/>
      <c r="D1" s="247"/>
      <c r="E1" s="247"/>
      <c r="F1" s="247"/>
      <c r="G1" s="247"/>
      <c r="H1" s="247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26</v>
      </c>
      <c r="D3" s="151" t="s">
        <v>26</v>
      </c>
      <c r="E3" s="151" t="s">
        <v>26</v>
      </c>
      <c r="F3" s="151" t="s">
        <v>26</v>
      </c>
      <c r="G3" s="151" t="s">
        <v>27</v>
      </c>
      <c r="H3" s="151" t="s">
        <v>28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48" t="str">
        <f>'Page de garde'!C13&amp;" : Résultats"</f>
        <v> : Résultats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29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30</v>
      </c>
      <c r="N15" s="50"/>
      <c r="O15" s="108" t="s">
        <v>21</v>
      </c>
      <c r="P15" s="18"/>
      <c r="Q15" s="109" t="s">
        <v>31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32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32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33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34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2" t="s">
        <v>35</v>
      </c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48" t="str">
        <f>'Page de garde'!C13&amp;" : Nombre d'Assurés par société"</f>
        <v> : Nombre d'Assurés par société</v>
      </c>
      <c r="D8" s="249"/>
      <c r="E8" s="249"/>
      <c r="F8" s="249"/>
      <c r="G8" s="249"/>
      <c r="H8" s="249"/>
      <c r="I8" s="249"/>
      <c r="J8" s="249"/>
      <c r="K8" s="250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36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3" t="s">
        <v>37</v>
      </c>
      <c r="E13" s="254"/>
      <c r="F13" s="203" t="s">
        <v>38</v>
      </c>
      <c r="G13" s="173" t="s">
        <v>39</v>
      </c>
      <c r="H13" s="204"/>
      <c r="I13" s="204"/>
      <c r="J13" s="204"/>
      <c r="K13" s="204"/>
      <c r="L13" s="205"/>
      <c r="AA13" s="215"/>
      <c r="AB13" s="216" t="s">
        <v>40</v>
      </c>
      <c r="AC13" s="216" t="s">
        <v>41</v>
      </c>
    </row>
    <row r="14" ht="14.25" customHeight="1" s="213" customFormat="1">
      <c r="A14" s="206"/>
      <c r="B14" s="207"/>
      <c r="C14" s="208"/>
      <c r="D14" s="209" t="s">
        <v>40</v>
      </c>
      <c r="E14" s="210" t="s">
        <v>41</v>
      </c>
      <c r="F14" s="211"/>
      <c r="G14" s="210" t="s">
        <v>42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43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44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45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46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48" t="str">
        <f>'Page de garde'!C13&amp;" : Démographie des Assurés vue au "&amp;AFFICHAGE!N4</f>
        <v> : Démographie des Assurés vue au 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47</v>
      </c>
      <c r="K11" s="123" t="s">
        <v>48</v>
      </c>
      <c r="Q11" s="61"/>
    </row>
    <row r="12" ht="30" customHeight="1">
      <c r="B12" s="12"/>
      <c r="Q12" s="61"/>
    </row>
    <row r="13" ht="45">
      <c r="B13" s="12"/>
      <c r="C13" s="24"/>
      <c r="D13" s="81" t="s">
        <v>49</v>
      </c>
      <c r="E13" s="81" t="s">
        <v>50</v>
      </c>
      <c r="F13" s="81" t="s">
        <v>41</v>
      </c>
      <c r="G13" s="81" t="s">
        <v>51</v>
      </c>
      <c r="H13" s="81" t="s">
        <v>52</v>
      </c>
      <c r="K13" s="27" t="s">
        <v>53</v>
      </c>
      <c r="L13" s="27" t="s">
        <v>54</v>
      </c>
      <c r="M13" s="27" t="s">
        <v>55</v>
      </c>
      <c r="N13" s="41" t="s">
        <v>46</v>
      </c>
      <c r="Q13" s="61"/>
    </row>
    <row r="14" ht="15" customHeight="1">
      <c r="B14" s="12"/>
      <c r="C14" s="25" t="s">
        <v>54</v>
      </c>
      <c r="D14" s="153">
        <v>0</v>
      </c>
      <c r="E14" s="154"/>
      <c r="F14" s="153">
        <v>0</v>
      </c>
      <c r="G14" s="154"/>
      <c r="H14" s="155"/>
      <c r="K14" s="25" t="s">
        <v>56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55</v>
      </c>
      <c r="D15" s="157">
        <v>0</v>
      </c>
      <c r="E15" s="158"/>
      <c r="F15" s="157">
        <v>0</v>
      </c>
      <c r="G15" s="158"/>
      <c r="H15" s="159"/>
      <c r="K15" s="25" t="s">
        <v>57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46</v>
      </c>
      <c r="D16" s="166">
        <v>0</v>
      </c>
      <c r="E16" s="167"/>
      <c r="F16" s="166">
        <v>0</v>
      </c>
      <c r="G16" s="167"/>
      <c r="H16" s="168"/>
      <c r="K16" s="25" t="s">
        <v>58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59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60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61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62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63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64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46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65</v>
      </c>
      <c r="K34" s="255"/>
      <c r="L34" s="256"/>
      <c r="M34" s="256"/>
      <c r="N34" s="256"/>
      <c r="O34" s="256"/>
      <c r="P34" s="257"/>
      <c r="Q34" s="61"/>
    </row>
    <row r="35" ht="15" customHeight="1">
      <c r="B35" s="12"/>
      <c r="K35" s="258"/>
      <c r="L35" s="259"/>
      <c r="M35" s="259"/>
      <c r="N35" s="259"/>
      <c r="O35" s="259"/>
      <c r="P35" s="260"/>
      <c r="Q35" s="61"/>
    </row>
    <row r="36" ht="30" customHeight="1">
      <c r="B36" s="12"/>
      <c r="C36" s="23"/>
      <c r="D36" s="124" t="s">
        <v>66</v>
      </c>
      <c r="E36" s="125" t="s">
        <v>67</v>
      </c>
      <c r="K36" s="258"/>
      <c r="L36" s="259"/>
      <c r="M36" s="259"/>
      <c r="N36" s="259"/>
      <c r="O36" s="259"/>
      <c r="P36" s="260"/>
      <c r="Q36" s="61"/>
    </row>
    <row r="37" ht="15" customHeight="1">
      <c r="B37" s="12"/>
      <c r="C37" s="126" t="s">
        <v>68</v>
      </c>
      <c r="D37" s="32">
        <v>0</v>
      </c>
      <c r="E37" s="33"/>
      <c r="K37" s="258"/>
      <c r="L37" s="259"/>
      <c r="M37" s="259"/>
      <c r="N37" s="259"/>
      <c r="O37" s="259"/>
      <c r="P37" s="260"/>
      <c r="Q37" s="61"/>
    </row>
    <row r="38" ht="15" customHeight="1">
      <c r="B38" s="12"/>
      <c r="C38" s="127" t="s">
        <v>69</v>
      </c>
      <c r="D38" s="34">
        <v>0</v>
      </c>
      <c r="E38" s="35"/>
      <c r="K38" s="258"/>
      <c r="L38" s="259"/>
      <c r="M38" s="259"/>
      <c r="N38" s="259"/>
      <c r="O38" s="259"/>
      <c r="P38" s="260"/>
      <c r="Q38" s="61"/>
    </row>
    <row r="39" ht="15" customHeight="1">
      <c r="B39" s="12"/>
      <c r="C39" s="128" t="s">
        <v>70</v>
      </c>
      <c r="D39" s="34">
        <v>0</v>
      </c>
      <c r="E39" s="35"/>
      <c r="K39" s="258"/>
      <c r="L39" s="259"/>
      <c r="M39" s="259"/>
      <c r="N39" s="259"/>
      <c r="O39" s="259"/>
      <c r="P39" s="260"/>
      <c r="Q39" s="61"/>
    </row>
    <row r="40" ht="15" customHeight="1">
      <c r="B40" s="12"/>
      <c r="C40" s="129" t="s">
        <v>46</v>
      </c>
      <c r="D40" s="36">
        <v>0</v>
      </c>
      <c r="E40" s="37"/>
      <c r="K40" s="258"/>
      <c r="L40" s="259"/>
      <c r="M40" s="259"/>
      <c r="N40" s="259"/>
      <c r="O40" s="259"/>
      <c r="P40" s="260"/>
      <c r="Q40" s="61"/>
    </row>
    <row r="41" ht="15" customHeight="1">
      <c r="B41" s="12"/>
      <c r="C41" s="4"/>
      <c r="D41" s="4"/>
      <c r="E41" s="4"/>
      <c r="K41" s="258"/>
      <c r="L41" s="259"/>
      <c r="M41" s="259"/>
      <c r="N41" s="259"/>
      <c r="O41" s="259"/>
      <c r="P41" s="260"/>
      <c r="Q41" s="61"/>
    </row>
    <row r="42" ht="15" customHeight="1">
      <c r="B42" s="12"/>
      <c r="C42" s="129" t="s">
        <v>71</v>
      </c>
      <c r="D42" s="38"/>
      <c r="E42" s="130" t="e">
        <f>D40/F16</f>
        <v>#DIV/0!</v>
      </c>
      <c r="K42" s="261"/>
      <c r="L42" s="262"/>
      <c r="M42" s="262"/>
      <c r="N42" s="262"/>
      <c r="O42" s="262"/>
      <c r="P42" s="263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90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91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92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93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94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95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96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97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98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99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100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101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102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103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104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105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106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107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108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109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110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111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112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113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114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115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116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117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118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119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120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121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122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123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124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125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126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127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128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129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130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131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132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84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133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134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135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136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137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46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7" t="s">
        <v>141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S11" s="61"/>
    </row>
    <row r="12">
      <c r="B12" s="12"/>
      <c r="S12" s="61"/>
      <c r="AD12" s="71"/>
    </row>
    <row r="13" s="69" customFormat="1">
      <c r="A13" s="68"/>
      <c r="B13" s="12"/>
      <c r="D13" s="267" t="s">
        <v>142</v>
      </c>
      <c r="E13" s="267"/>
      <c r="F13" s="267"/>
      <c r="G13" s="267"/>
      <c r="H13" s="72"/>
      <c r="O13" s="267" t="s">
        <v>143</v>
      </c>
      <c r="P13" s="267"/>
      <c r="Q13" s="267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8" t="s">
        <v>144</v>
      </c>
      <c r="E31" s="268"/>
      <c r="F31" s="268"/>
      <c r="G31" s="268"/>
      <c r="H31" s="68"/>
      <c r="I31" s="68"/>
      <c r="L31" s="68"/>
      <c r="M31" s="68"/>
      <c r="O31" s="140" t="s">
        <v>145</v>
      </c>
      <c r="P31" s="73"/>
      <c r="Q31" s="73"/>
      <c r="R31" s="68"/>
      <c r="S31" s="61"/>
    </row>
    <row r="32" ht="24" s="138" customFormat="1">
      <c r="B32" s="86"/>
      <c r="J32" s="139" t="s">
        <v>146</v>
      </c>
      <c r="K32" s="139" t="s">
        <v>147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148</v>
      </c>
      <c r="G66" s="175" t="s">
        <v>149</v>
      </c>
      <c r="H66" s="175" t="s">
        <v>79</v>
      </c>
      <c r="I66" s="175" t="s">
        <v>77</v>
      </c>
      <c r="J66" s="175" t="s">
        <v>150</v>
      </c>
      <c r="K66" s="175" t="s">
        <v>79</v>
      </c>
      <c r="L66" s="175" t="s">
        <v>151</v>
      </c>
      <c r="M66" s="175" t="s">
        <v>148</v>
      </c>
      <c r="N66" s="175" t="s">
        <v>149</v>
      </c>
    </row>
    <row r="67">
      <c r="E67" s="174" t="s">
        <v>83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90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95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97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105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117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128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131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46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138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139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90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91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92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93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94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46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138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139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140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95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96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46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97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98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99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100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101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102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103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104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46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105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106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107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108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109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110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111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112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113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114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46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138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139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115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116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46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117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118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119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120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121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122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123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124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125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126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127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46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138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139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140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128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129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130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46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138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139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140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131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132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84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133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134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135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136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137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46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79</v>
      </c>
      <c r="F12" s="270"/>
      <c r="G12" s="271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83</v>
      </c>
      <c r="D15" s="143"/>
      <c r="E15" s="65">
        <v>0</v>
      </c>
      <c r="F15" s="65">
        <v>13270.3</v>
      </c>
      <c r="G15" s="231"/>
      <c r="H15" s="44"/>
      <c r="I15" s="44"/>
      <c r="J15" s="44"/>
      <c r="K15" s="44"/>
      <c r="L15" s="44"/>
      <c r="M15" s="44"/>
      <c r="N15" s="144"/>
      <c r="R15" s="61"/>
      <c r="T15" s="232"/>
    </row>
    <row r="16" ht="15" customHeight="1">
      <c r="B16" s="12"/>
      <c r="C16" s="193"/>
      <c r="D16" s="194" t="s">
        <v>84</v>
      </c>
      <c r="E16" s="195">
        <v>0</v>
      </c>
      <c r="F16" s="195">
        <v>12870.3</v>
      </c>
      <c r="G16" s="233"/>
      <c r="H16" s="234"/>
      <c r="I16" s="234"/>
      <c r="J16" s="234"/>
      <c r="K16" s="234"/>
      <c r="L16" s="234"/>
      <c r="M16" s="234"/>
      <c r="N16" s="199"/>
      <c r="O16" s="69"/>
      <c r="P16" s="69"/>
      <c r="Q16" s="69"/>
      <c r="R16" s="61"/>
      <c r="T16" s="232"/>
    </row>
    <row r="17" ht="15" customHeight="1">
      <c r="B17" s="12"/>
      <c r="C17" s="193"/>
      <c r="D17" s="194" t="s">
        <v>87</v>
      </c>
      <c r="E17" s="195">
        <v>0</v>
      </c>
      <c r="F17" s="195">
        <v>200</v>
      </c>
      <c r="G17" s="233"/>
      <c r="H17" s="234"/>
      <c r="I17" s="234"/>
      <c r="J17" s="234"/>
      <c r="K17" s="234"/>
      <c r="L17" s="234"/>
      <c r="M17" s="234"/>
      <c r="N17" s="199"/>
      <c r="O17" s="69"/>
      <c r="P17" s="69"/>
      <c r="Q17" s="69"/>
      <c r="R17" s="61"/>
      <c r="T17" s="232"/>
    </row>
    <row r="18" ht="15" customHeight="1">
      <c r="B18" s="12"/>
      <c r="C18" s="193"/>
      <c r="D18" s="194" t="s">
        <v>88</v>
      </c>
      <c r="E18" s="195">
        <v>0</v>
      </c>
      <c r="F18" s="195">
        <v>200</v>
      </c>
      <c r="G18" s="233"/>
      <c r="H18" s="234"/>
      <c r="I18" s="234"/>
      <c r="J18" s="234"/>
      <c r="K18" s="234"/>
      <c r="L18" s="234"/>
      <c r="M18" s="234"/>
      <c r="N18" s="199"/>
      <c r="O18" s="69"/>
      <c r="P18" s="69"/>
      <c r="Q18" s="69"/>
      <c r="R18" s="61"/>
      <c r="T18" s="232"/>
    </row>
    <row r="19" ht="15" customHeight="1">
      <c r="B19" s="12"/>
      <c r="C19" s="142" t="s">
        <v>90</v>
      </c>
      <c r="D19" s="143"/>
      <c r="E19" s="65">
        <v>0</v>
      </c>
      <c r="F19" s="65">
        <v>5436.34</v>
      </c>
      <c r="G19" s="231"/>
      <c r="H19" s="44"/>
      <c r="I19" s="44"/>
      <c r="J19" s="44"/>
      <c r="K19" s="44"/>
      <c r="L19" s="44"/>
      <c r="M19" s="44"/>
      <c r="N19" s="144"/>
      <c r="R19" s="61"/>
      <c r="T19" s="232"/>
    </row>
    <row r="20" ht="15" customHeight="1">
      <c r="B20" s="12"/>
      <c r="C20" s="193"/>
      <c r="D20" s="194" t="s">
        <v>92</v>
      </c>
      <c r="E20" s="195">
        <v>0</v>
      </c>
      <c r="F20" s="195">
        <v>240</v>
      </c>
      <c r="G20" s="233"/>
      <c r="H20" s="234"/>
      <c r="I20" s="234"/>
      <c r="J20" s="234"/>
      <c r="K20" s="234"/>
      <c r="L20" s="234"/>
      <c r="M20" s="234"/>
      <c r="N20" s="199"/>
      <c r="O20" s="69"/>
      <c r="P20" s="69"/>
      <c r="Q20" s="69"/>
      <c r="R20" s="61"/>
      <c r="T20" s="232"/>
    </row>
    <row r="21" ht="15" customHeight="1">
      <c r="B21" s="12"/>
      <c r="C21" s="193"/>
      <c r="D21" s="194" t="s">
        <v>94</v>
      </c>
      <c r="E21" s="195">
        <v>0</v>
      </c>
      <c r="F21" s="195">
        <v>5196.34</v>
      </c>
      <c r="G21" s="233"/>
      <c r="H21" s="234"/>
      <c r="I21" s="234"/>
      <c r="J21" s="234"/>
      <c r="K21" s="234"/>
      <c r="L21" s="234"/>
      <c r="M21" s="234"/>
      <c r="N21" s="199"/>
      <c r="O21" s="69"/>
      <c r="P21" s="69"/>
      <c r="Q21" s="69"/>
      <c r="R21" s="61"/>
      <c r="T21" s="232"/>
    </row>
    <row r="22" ht="15" customHeight="1">
      <c r="B22" s="12"/>
      <c r="C22" s="142" t="s">
        <v>95</v>
      </c>
      <c r="D22" s="143"/>
      <c r="E22" s="65">
        <v>0</v>
      </c>
      <c r="F22" s="65">
        <v>316.72</v>
      </c>
      <c r="G22" s="231"/>
      <c r="H22" s="44"/>
      <c r="I22" s="44"/>
      <c r="J22" s="44"/>
      <c r="K22" s="44"/>
      <c r="L22" s="44"/>
      <c r="M22" s="44"/>
      <c r="N22" s="144"/>
      <c r="R22" s="61"/>
      <c r="T22" s="232"/>
    </row>
    <row r="23" ht="15" customHeight="1">
      <c r="B23" s="12"/>
      <c r="C23" s="193"/>
      <c r="D23" s="194" t="s">
        <v>96</v>
      </c>
      <c r="E23" s="195">
        <v>0</v>
      </c>
      <c r="F23" s="195">
        <v>316.72</v>
      </c>
      <c r="G23" s="233"/>
      <c r="H23" s="234"/>
      <c r="I23" s="234"/>
      <c r="J23" s="234"/>
      <c r="K23" s="234"/>
      <c r="L23" s="234"/>
      <c r="M23" s="234"/>
      <c r="N23" s="199"/>
      <c r="O23" s="69"/>
      <c r="P23" s="69"/>
      <c r="Q23" s="69"/>
      <c r="R23" s="61"/>
      <c r="T23" s="232"/>
    </row>
    <row r="24" ht="15" customHeight="1">
      <c r="B24" s="12"/>
      <c r="C24" s="142" t="s">
        <v>97</v>
      </c>
      <c r="D24" s="143"/>
      <c r="E24" s="65">
        <v>0</v>
      </c>
      <c r="F24" s="65">
        <v>109250.96999999997</v>
      </c>
      <c r="G24" s="231"/>
      <c r="H24" s="44"/>
      <c r="I24" s="44"/>
      <c r="J24" s="44"/>
      <c r="K24" s="44"/>
      <c r="L24" s="44"/>
      <c r="M24" s="44"/>
      <c r="N24" s="144"/>
      <c r="R24" s="61"/>
      <c r="T24" s="232"/>
    </row>
    <row r="25" ht="15" customHeight="1">
      <c r="B25" s="12"/>
      <c r="C25" s="193"/>
      <c r="D25" s="194" t="s">
        <v>98</v>
      </c>
      <c r="E25" s="195">
        <v>0</v>
      </c>
      <c r="F25" s="195">
        <v>3774.83999999999</v>
      </c>
      <c r="G25" s="233"/>
      <c r="H25" s="234"/>
      <c r="I25" s="234"/>
      <c r="J25" s="234"/>
      <c r="K25" s="234"/>
      <c r="L25" s="234"/>
      <c r="M25" s="234"/>
      <c r="N25" s="199"/>
      <c r="O25" s="69"/>
      <c r="P25" s="69"/>
      <c r="Q25" s="69"/>
      <c r="R25" s="61"/>
      <c r="T25" s="232"/>
    </row>
    <row r="26" ht="15" customHeight="1">
      <c r="B26" s="12"/>
      <c r="C26" s="193"/>
      <c r="D26" s="194" t="s">
        <v>99</v>
      </c>
      <c r="E26" s="195">
        <v>0</v>
      </c>
      <c r="F26" s="195">
        <v>14700.3</v>
      </c>
      <c r="G26" s="233"/>
      <c r="H26" s="234"/>
      <c r="I26" s="234"/>
      <c r="J26" s="234"/>
      <c r="K26" s="234"/>
      <c r="L26" s="234"/>
      <c r="M26" s="234"/>
      <c r="N26" s="199"/>
      <c r="O26" s="69"/>
      <c r="P26" s="69"/>
      <c r="Q26" s="69"/>
      <c r="R26" s="61"/>
      <c r="T26" s="232"/>
    </row>
    <row r="27" ht="15" customHeight="1">
      <c r="B27" s="12"/>
      <c r="C27" s="193"/>
      <c r="D27" s="194" t="s">
        <v>100</v>
      </c>
      <c r="E27" s="195">
        <v>0</v>
      </c>
      <c r="F27" s="195">
        <v>899.28</v>
      </c>
      <c r="G27" s="233"/>
      <c r="H27" s="234"/>
      <c r="I27" s="234"/>
      <c r="J27" s="234"/>
      <c r="K27" s="234"/>
      <c r="L27" s="234"/>
      <c r="M27" s="234"/>
      <c r="N27" s="199"/>
      <c r="O27" s="69"/>
      <c r="P27" s="69"/>
      <c r="Q27" s="69"/>
      <c r="R27" s="61"/>
      <c r="T27" s="232"/>
    </row>
    <row r="28" ht="15" customHeight="1">
      <c r="B28" s="12"/>
      <c r="C28" s="193"/>
      <c r="D28" s="194" t="s">
        <v>101</v>
      </c>
      <c r="E28" s="195">
        <v>0</v>
      </c>
      <c r="F28" s="195">
        <v>61116.12</v>
      </c>
      <c r="G28" s="233"/>
      <c r="H28" s="234"/>
      <c r="I28" s="234"/>
      <c r="J28" s="234"/>
      <c r="K28" s="234"/>
      <c r="L28" s="234"/>
      <c r="M28" s="234"/>
      <c r="N28" s="199"/>
      <c r="O28" s="69"/>
      <c r="P28" s="69"/>
      <c r="Q28" s="69"/>
      <c r="R28" s="61"/>
      <c r="T28" s="232"/>
    </row>
    <row r="29" ht="15" customHeight="1">
      <c r="B29" s="12"/>
      <c r="C29" s="193"/>
      <c r="D29" s="194" t="s">
        <v>102</v>
      </c>
      <c r="E29" s="195">
        <v>0</v>
      </c>
      <c r="F29" s="195">
        <v>12759.56</v>
      </c>
      <c r="G29" s="233"/>
      <c r="H29" s="234"/>
      <c r="I29" s="234"/>
      <c r="J29" s="234"/>
      <c r="K29" s="234"/>
      <c r="L29" s="234"/>
      <c r="M29" s="234"/>
      <c r="N29" s="199"/>
      <c r="O29" s="69"/>
      <c r="P29" s="69"/>
      <c r="Q29" s="69"/>
      <c r="R29" s="61"/>
      <c r="T29" s="232"/>
    </row>
    <row r="30" ht="15" customHeight="1">
      <c r="B30" s="12"/>
      <c r="C30" s="193"/>
      <c r="D30" s="194" t="s">
        <v>103</v>
      </c>
      <c r="E30" s="195">
        <v>0</v>
      </c>
      <c r="F30" s="195">
        <v>8674.87</v>
      </c>
      <c r="G30" s="233"/>
      <c r="H30" s="234"/>
      <c r="I30" s="234"/>
      <c r="J30" s="234"/>
      <c r="K30" s="234"/>
      <c r="L30" s="234"/>
      <c r="M30" s="234"/>
      <c r="N30" s="199"/>
      <c r="O30" s="69"/>
      <c r="P30" s="69"/>
      <c r="Q30" s="69"/>
      <c r="R30" s="61"/>
      <c r="T30" s="232"/>
    </row>
    <row r="31" ht="15" customHeight="1">
      <c r="B31" s="12"/>
      <c r="C31" s="193"/>
      <c r="D31" s="194" t="s">
        <v>104</v>
      </c>
      <c r="E31" s="195">
        <v>0</v>
      </c>
      <c r="F31" s="195">
        <v>7325.99999999998</v>
      </c>
      <c r="G31" s="233"/>
      <c r="H31" s="234"/>
      <c r="I31" s="234"/>
      <c r="J31" s="234"/>
      <c r="K31" s="234"/>
      <c r="L31" s="234"/>
      <c r="M31" s="234"/>
      <c r="N31" s="199"/>
      <c r="O31" s="69"/>
      <c r="P31" s="69"/>
      <c r="Q31" s="69"/>
      <c r="R31" s="61"/>
      <c r="T31" s="232"/>
    </row>
    <row r="32" ht="15" customHeight="1">
      <c r="B32" s="12"/>
      <c r="C32" s="142" t="s">
        <v>105</v>
      </c>
      <c r="D32" s="143"/>
      <c r="E32" s="65">
        <v>0</v>
      </c>
      <c r="F32" s="65">
        <v>45039.49</v>
      </c>
      <c r="G32" s="231"/>
      <c r="H32" s="44"/>
      <c r="I32" s="44"/>
      <c r="J32" s="44"/>
      <c r="K32" s="44"/>
      <c r="L32" s="44"/>
      <c r="M32" s="44"/>
      <c r="N32" s="144"/>
      <c r="R32" s="61"/>
      <c r="T32" s="232"/>
    </row>
    <row r="33" ht="15" customHeight="1">
      <c r="B33" s="12"/>
      <c r="C33" s="193"/>
      <c r="D33" s="194" t="s">
        <v>106</v>
      </c>
      <c r="E33" s="195">
        <v>0</v>
      </c>
      <c r="F33" s="195">
        <v>6874.84</v>
      </c>
      <c r="G33" s="233"/>
      <c r="H33" s="234"/>
      <c r="I33" s="234"/>
      <c r="J33" s="234"/>
      <c r="K33" s="234"/>
      <c r="L33" s="234"/>
      <c r="M33" s="234"/>
      <c r="N33" s="199"/>
      <c r="O33" s="69"/>
      <c r="P33" s="69"/>
      <c r="Q33" s="69"/>
      <c r="R33" s="61"/>
      <c r="T33" s="232"/>
    </row>
    <row r="34" ht="15" customHeight="1">
      <c r="B34" s="12"/>
      <c r="C34" s="193"/>
      <c r="D34" s="194" t="s">
        <v>107</v>
      </c>
      <c r="E34" s="195">
        <v>0</v>
      </c>
      <c r="F34" s="195">
        <v>2064.6</v>
      </c>
      <c r="G34" s="233"/>
      <c r="H34" s="234"/>
      <c r="I34" s="234"/>
      <c r="J34" s="234"/>
      <c r="K34" s="234"/>
      <c r="L34" s="234"/>
      <c r="M34" s="234"/>
      <c r="N34" s="199"/>
      <c r="O34" s="69"/>
      <c r="P34" s="69"/>
      <c r="Q34" s="69"/>
      <c r="R34" s="61"/>
      <c r="T34" s="232"/>
    </row>
    <row r="35" ht="15" customHeight="1">
      <c r="B35" s="12"/>
      <c r="C35" s="193"/>
      <c r="D35" s="194" t="s">
        <v>108</v>
      </c>
      <c r="E35" s="195">
        <v>0</v>
      </c>
      <c r="F35" s="195">
        <v>72</v>
      </c>
      <c r="G35" s="233"/>
      <c r="H35" s="234"/>
      <c r="I35" s="234"/>
      <c r="J35" s="234"/>
      <c r="K35" s="234"/>
      <c r="L35" s="234"/>
      <c r="M35" s="234"/>
      <c r="N35" s="199"/>
      <c r="O35" s="69"/>
      <c r="P35" s="69"/>
      <c r="Q35" s="69"/>
      <c r="R35" s="61"/>
      <c r="T35" s="232"/>
    </row>
    <row r="36" ht="15" customHeight="1">
      <c r="B36" s="12"/>
      <c r="C36" s="193"/>
      <c r="D36" s="194" t="s">
        <v>109</v>
      </c>
      <c r="E36" s="195">
        <v>0</v>
      </c>
      <c r="F36" s="195">
        <v>502.05</v>
      </c>
      <c r="G36" s="233"/>
      <c r="H36" s="234"/>
      <c r="I36" s="234"/>
      <c r="J36" s="234"/>
      <c r="K36" s="234"/>
      <c r="L36" s="234"/>
      <c r="M36" s="234"/>
      <c r="N36" s="199"/>
      <c r="O36" s="69"/>
      <c r="P36" s="69"/>
      <c r="Q36" s="69"/>
      <c r="R36" s="61"/>
      <c r="T36" s="232"/>
    </row>
    <row r="37" ht="15" customHeight="1">
      <c r="B37" s="12"/>
      <c r="C37" s="193"/>
      <c r="D37" s="194" t="s">
        <v>110</v>
      </c>
      <c r="E37" s="195">
        <v>0</v>
      </c>
      <c r="F37" s="195">
        <v>358.72</v>
      </c>
      <c r="G37" s="233"/>
      <c r="H37" s="234"/>
      <c r="I37" s="234"/>
      <c r="J37" s="234"/>
      <c r="K37" s="234"/>
      <c r="L37" s="234"/>
      <c r="M37" s="234"/>
      <c r="N37" s="199"/>
      <c r="O37" s="69"/>
      <c r="P37" s="69"/>
      <c r="Q37" s="69"/>
      <c r="R37" s="61"/>
      <c r="T37" s="232"/>
    </row>
    <row r="38" ht="15" customHeight="1">
      <c r="B38" s="12"/>
      <c r="C38" s="193"/>
      <c r="D38" s="194" t="s">
        <v>111</v>
      </c>
      <c r="E38" s="195">
        <v>0</v>
      </c>
      <c r="F38" s="195">
        <v>32133.52</v>
      </c>
      <c r="G38" s="233"/>
      <c r="H38" s="234"/>
      <c r="I38" s="234"/>
      <c r="J38" s="234"/>
      <c r="K38" s="234"/>
      <c r="L38" s="234"/>
      <c r="M38" s="234"/>
      <c r="N38" s="199"/>
      <c r="O38" s="69"/>
      <c r="P38" s="69"/>
      <c r="Q38" s="69"/>
      <c r="R38" s="61"/>
      <c r="T38" s="232"/>
    </row>
    <row r="39" ht="15" customHeight="1">
      <c r="B39" s="12"/>
      <c r="C39" s="193"/>
      <c r="D39" s="194" t="s">
        <v>112</v>
      </c>
      <c r="E39" s="195">
        <v>0</v>
      </c>
      <c r="F39" s="195">
        <v>1851.04</v>
      </c>
      <c r="G39" s="233"/>
      <c r="H39" s="234"/>
      <c r="I39" s="234"/>
      <c r="J39" s="234"/>
      <c r="K39" s="234"/>
      <c r="L39" s="234"/>
      <c r="M39" s="234"/>
      <c r="N39" s="199"/>
      <c r="O39" s="69"/>
      <c r="P39" s="69"/>
      <c r="Q39" s="69"/>
      <c r="R39" s="61"/>
      <c r="T39" s="232"/>
    </row>
    <row r="40" ht="15" customHeight="1">
      <c r="B40" s="12"/>
      <c r="C40" s="193"/>
      <c r="D40" s="194" t="s">
        <v>113</v>
      </c>
      <c r="E40" s="195">
        <v>0</v>
      </c>
      <c r="F40" s="195">
        <v>1022.72</v>
      </c>
      <c r="G40" s="233"/>
      <c r="H40" s="234"/>
      <c r="I40" s="234"/>
      <c r="J40" s="234"/>
      <c r="K40" s="234"/>
      <c r="L40" s="234"/>
      <c r="M40" s="234"/>
      <c r="N40" s="199"/>
      <c r="O40" s="69"/>
      <c r="P40" s="69"/>
      <c r="Q40" s="69"/>
      <c r="R40" s="61"/>
      <c r="T40" s="232"/>
    </row>
    <row r="41" ht="15" customHeight="1">
      <c r="B41" s="12"/>
      <c r="C41" s="193"/>
      <c r="D41" s="194" t="s">
        <v>114</v>
      </c>
      <c r="E41" s="195">
        <v>0</v>
      </c>
      <c r="F41" s="195">
        <v>160</v>
      </c>
      <c r="G41" s="233"/>
      <c r="H41" s="234"/>
      <c r="I41" s="234"/>
      <c r="J41" s="234"/>
      <c r="K41" s="234"/>
      <c r="L41" s="234"/>
      <c r="M41" s="234"/>
      <c r="N41" s="199"/>
      <c r="O41" s="69"/>
      <c r="P41" s="69"/>
      <c r="Q41" s="69"/>
      <c r="R41" s="61"/>
      <c r="T41" s="232"/>
    </row>
    <row r="42" ht="15" customHeight="1">
      <c r="B42" s="12"/>
      <c r="C42" s="142" t="s">
        <v>117</v>
      </c>
      <c r="D42" s="143"/>
      <c r="E42" s="65">
        <v>0</v>
      </c>
      <c r="F42" s="65">
        <v>99652.600000000108</v>
      </c>
      <c r="G42" s="231"/>
      <c r="H42" s="44"/>
      <c r="I42" s="44"/>
      <c r="J42" s="44"/>
      <c r="K42" s="44"/>
      <c r="L42" s="44"/>
      <c r="M42" s="44"/>
      <c r="N42" s="144"/>
      <c r="R42" s="61"/>
      <c r="T42" s="232"/>
    </row>
    <row r="43" ht="15" customHeight="1">
      <c r="B43" s="12"/>
      <c r="C43" s="193"/>
      <c r="D43" s="194" t="s">
        <v>118</v>
      </c>
      <c r="E43" s="195">
        <v>0</v>
      </c>
      <c r="F43" s="195">
        <v>55268.7100000001</v>
      </c>
      <c r="G43" s="233"/>
      <c r="H43" s="234"/>
      <c r="I43" s="234"/>
      <c r="J43" s="234"/>
      <c r="K43" s="234"/>
      <c r="L43" s="234"/>
      <c r="M43" s="234"/>
      <c r="N43" s="199"/>
      <c r="O43" s="69"/>
      <c r="P43" s="69"/>
      <c r="Q43" s="69"/>
      <c r="R43" s="61"/>
      <c r="T43" s="232"/>
    </row>
    <row r="44" ht="15" customHeight="1">
      <c r="B44" s="12"/>
      <c r="C44" s="193"/>
      <c r="D44" s="194" t="s">
        <v>119</v>
      </c>
      <c r="E44" s="195">
        <v>0</v>
      </c>
      <c r="F44" s="195">
        <v>332.1</v>
      </c>
      <c r="G44" s="233"/>
      <c r="H44" s="234"/>
      <c r="I44" s="234"/>
      <c r="J44" s="234"/>
      <c r="K44" s="234"/>
      <c r="L44" s="234"/>
      <c r="M44" s="234"/>
      <c r="N44" s="199"/>
      <c r="O44" s="69"/>
      <c r="P44" s="69"/>
      <c r="Q44" s="69"/>
      <c r="R44" s="61"/>
      <c r="T44" s="232"/>
    </row>
    <row r="45" ht="15" customHeight="1">
      <c r="B45" s="12"/>
      <c r="C45" s="193"/>
      <c r="D45" s="194" t="s">
        <v>121</v>
      </c>
      <c r="E45" s="195">
        <v>0</v>
      </c>
      <c r="F45" s="195">
        <v>9694.52</v>
      </c>
      <c r="G45" s="233"/>
      <c r="H45" s="234"/>
      <c r="I45" s="234"/>
      <c r="J45" s="234"/>
      <c r="K45" s="234"/>
      <c r="L45" s="234"/>
      <c r="M45" s="234"/>
      <c r="N45" s="199"/>
      <c r="O45" s="69"/>
      <c r="P45" s="69"/>
      <c r="Q45" s="69"/>
      <c r="R45" s="61"/>
      <c r="T45" s="232"/>
    </row>
    <row r="46" ht="15" customHeight="1">
      <c r="B46" s="12"/>
      <c r="C46" s="193"/>
      <c r="D46" s="194" t="s">
        <v>123</v>
      </c>
      <c r="E46" s="195">
        <v>0</v>
      </c>
      <c r="F46" s="195">
        <v>356.91</v>
      </c>
      <c r="G46" s="233"/>
      <c r="H46" s="234"/>
      <c r="I46" s="234"/>
      <c r="J46" s="234"/>
      <c r="K46" s="234"/>
      <c r="L46" s="234"/>
      <c r="M46" s="234"/>
      <c r="N46" s="199"/>
      <c r="O46" s="69"/>
      <c r="P46" s="69"/>
      <c r="Q46" s="69"/>
      <c r="R46" s="61"/>
      <c r="T46" s="232"/>
    </row>
    <row r="47" ht="15" customHeight="1">
      <c r="B47" s="12"/>
      <c r="C47" s="193"/>
      <c r="D47" s="194" t="s">
        <v>124</v>
      </c>
      <c r="E47" s="195">
        <v>0</v>
      </c>
      <c r="F47" s="195">
        <v>22025.97</v>
      </c>
      <c r="G47" s="233"/>
      <c r="H47" s="234"/>
      <c r="I47" s="234"/>
      <c r="J47" s="234"/>
      <c r="K47" s="234"/>
      <c r="L47" s="234"/>
      <c r="M47" s="234"/>
      <c r="N47" s="199"/>
      <c r="O47" s="69"/>
      <c r="P47" s="69"/>
      <c r="Q47" s="69"/>
      <c r="R47" s="61"/>
      <c r="T47" s="232"/>
    </row>
    <row r="48" ht="15" customHeight="1">
      <c r="B48" s="12"/>
      <c r="C48" s="193"/>
      <c r="D48" s="194" t="s">
        <v>125</v>
      </c>
      <c r="E48" s="195">
        <v>0</v>
      </c>
      <c r="F48" s="195">
        <v>11612.05</v>
      </c>
      <c r="G48" s="233"/>
      <c r="H48" s="234"/>
      <c r="I48" s="234"/>
      <c r="J48" s="234"/>
      <c r="K48" s="234"/>
      <c r="L48" s="234"/>
      <c r="M48" s="234"/>
      <c r="N48" s="199"/>
      <c r="O48" s="69"/>
      <c r="P48" s="69"/>
      <c r="Q48" s="69"/>
      <c r="R48" s="61"/>
      <c r="T48" s="232"/>
    </row>
    <row r="49" ht="15" customHeight="1">
      <c r="B49" s="12"/>
      <c r="C49" s="193"/>
      <c r="D49" s="194" t="s">
        <v>126</v>
      </c>
      <c r="E49" s="195">
        <v>0</v>
      </c>
      <c r="F49" s="195">
        <v>362.34</v>
      </c>
      <c r="G49" s="233"/>
      <c r="H49" s="234"/>
      <c r="I49" s="234"/>
      <c r="J49" s="234"/>
      <c r="K49" s="234"/>
      <c r="L49" s="234"/>
      <c r="M49" s="234"/>
      <c r="N49" s="199"/>
      <c r="O49" s="69"/>
      <c r="P49" s="69"/>
      <c r="Q49" s="69"/>
      <c r="R49" s="61"/>
      <c r="T49" s="232"/>
    </row>
    <row r="50" ht="15" customHeight="1">
      <c r="B50" s="12"/>
      <c r="C50" s="142" t="s">
        <v>128</v>
      </c>
      <c r="D50" s="143"/>
      <c r="E50" s="65">
        <v>0</v>
      </c>
      <c r="F50" s="65">
        <v>13582.13</v>
      </c>
      <c r="G50" s="231"/>
      <c r="H50" s="44"/>
      <c r="I50" s="44"/>
      <c r="J50" s="44"/>
      <c r="K50" s="44"/>
      <c r="L50" s="44"/>
      <c r="M50" s="44"/>
      <c r="N50" s="144"/>
      <c r="R50" s="61"/>
      <c r="T50" s="232"/>
    </row>
    <row r="51" ht="15" customHeight="1">
      <c r="B51" s="12"/>
      <c r="C51" s="193"/>
      <c r="D51" s="194" t="s">
        <v>129</v>
      </c>
      <c r="E51" s="195">
        <v>0</v>
      </c>
      <c r="F51" s="195">
        <v>13545</v>
      </c>
      <c r="G51" s="233"/>
      <c r="H51" s="234"/>
      <c r="I51" s="234"/>
      <c r="J51" s="234"/>
      <c r="K51" s="234"/>
      <c r="L51" s="234"/>
      <c r="M51" s="234"/>
      <c r="N51" s="199"/>
      <c r="O51" s="69"/>
      <c r="P51" s="69"/>
      <c r="Q51" s="69"/>
      <c r="R51" s="61"/>
      <c r="T51" s="232"/>
    </row>
    <row r="52" ht="15" customHeight="1">
      <c r="B52" s="12"/>
      <c r="C52" s="193"/>
      <c r="D52" s="194" t="s">
        <v>130</v>
      </c>
      <c r="E52" s="195">
        <v>0</v>
      </c>
      <c r="F52" s="195">
        <v>37.13</v>
      </c>
      <c r="G52" s="233"/>
      <c r="H52" s="234"/>
      <c r="I52" s="234"/>
      <c r="J52" s="234"/>
      <c r="K52" s="234"/>
      <c r="L52" s="234"/>
      <c r="M52" s="234"/>
      <c r="N52" s="199"/>
      <c r="O52" s="69"/>
      <c r="P52" s="69"/>
      <c r="Q52" s="69"/>
      <c r="R52" s="61"/>
      <c r="T52" s="232"/>
    </row>
    <row r="53" ht="15" customHeight="1">
      <c r="B53" s="12"/>
      <c r="C53" s="142" t="s">
        <v>131</v>
      </c>
      <c r="D53" s="143"/>
      <c r="E53" s="65">
        <v>0</v>
      </c>
      <c r="F53" s="65">
        <v>201533.56000000378</v>
      </c>
      <c r="G53" s="231"/>
      <c r="H53" s="44"/>
      <c r="I53" s="44"/>
      <c r="J53" s="44"/>
      <c r="K53" s="44"/>
      <c r="L53" s="44"/>
      <c r="M53" s="44"/>
      <c r="N53" s="144"/>
      <c r="R53" s="61"/>
      <c r="T53" s="232"/>
    </row>
    <row r="54" ht="15" customHeight="1">
      <c r="B54" s="12"/>
      <c r="C54" s="193"/>
      <c r="D54" s="194" t="s">
        <v>132</v>
      </c>
      <c r="E54" s="195">
        <v>0</v>
      </c>
      <c r="F54" s="195">
        <v>19405.3300000001</v>
      </c>
      <c r="G54" s="233"/>
      <c r="H54" s="234"/>
      <c r="I54" s="234"/>
      <c r="J54" s="234"/>
      <c r="K54" s="234"/>
      <c r="L54" s="234"/>
      <c r="M54" s="234"/>
      <c r="N54" s="199"/>
      <c r="O54" s="69"/>
      <c r="P54" s="69"/>
      <c r="Q54" s="69"/>
      <c r="R54" s="61"/>
      <c r="T54" s="232"/>
    </row>
    <row r="55" ht="15" customHeight="1">
      <c r="B55" s="12"/>
      <c r="C55" s="193"/>
      <c r="D55" s="194" t="s">
        <v>84</v>
      </c>
      <c r="E55" s="195">
        <v>0</v>
      </c>
      <c r="F55" s="195">
        <v>1126.3</v>
      </c>
      <c r="G55" s="233"/>
      <c r="H55" s="234"/>
      <c r="I55" s="234"/>
      <c r="J55" s="234"/>
      <c r="K55" s="234"/>
      <c r="L55" s="234"/>
      <c r="M55" s="234"/>
      <c r="N55" s="199"/>
      <c r="O55" s="69"/>
      <c r="P55" s="69"/>
      <c r="Q55" s="69"/>
      <c r="R55" s="61"/>
      <c r="T55" s="232"/>
    </row>
    <row r="56" ht="15" customHeight="1">
      <c r="B56" s="12"/>
      <c r="C56" s="193"/>
      <c r="D56" s="194" t="s">
        <v>133</v>
      </c>
      <c r="E56" s="195">
        <v>0</v>
      </c>
      <c r="F56" s="195">
        <v>31660.8100000004</v>
      </c>
      <c r="G56" s="233"/>
      <c r="H56" s="234"/>
      <c r="I56" s="234"/>
      <c r="J56" s="234"/>
      <c r="K56" s="234"/>
      <c r="L56" s="234"/>
      <c r="M56" s="234"/>
      <c r="N56" s="199"/>
      <c r="O56" s="69"/>
      <c r="P56" s="69"/>
      <c r="Q56" s="69"/>
      <c r="R56" s="61"/>
      <c r="T56" s="232"/>
    </row>
    <row r="57" ht="15" customHeight="1">
      <c r="B57" s="12"/>
      <c r="C57" s="193"/>
      <c r="D57" s="194" t="s">
        <v>134</v>
      </c>
      <c r="E57" s="195">
        <v>0</v>
      </c>
      <c r="F57" s="195">
        <v>79834.9799999995</v>
      </c>
      <c r="G57" s="233"/>
      <c r="H57" s="234"/>
      <c r="I57" s="234"/>
      <c r="J57" s="234"/>
      <c r="K57" s="234"/>
      <c r="L57" s="234"/>
      <c r="M57" s="234"/>
      <c r="N57" s="199"/>
      <c r="O57" s="69"/>
      <c r="P57" s="69"/>
      <c r="Q57" s="69"/>
      <c r="R57" s="61"/>
      <c r="T57" s="232"/>
    </row>
    <row r="58" ht="15" customHeight="1">
      <c r="B58" s="12"/>
      <c r="C58" s="193"/>
      <c r="D58" s="194" t="s">
        <v>135</v>
      </c>
      <c r="E58" s="195">
        <v>0</v>
      </c>
      <c r="F58" s="195">
        <v>15686.55</v>
      </c>
      <c r="G58" s="233"/>
      <c r="H58" s="234"/>
      <c r="I58" s="234"/>
      <c r="J58" s="234"/>
      <c r="K58" s="234"/>
      <c r="L58" s="234"/>
      <c r="M58" s="234"/>
      <c r="N58" s="199"/>
      <c r="O58" s="69"/>
      <c r="P58" s="69"/>
      <c r="Q58" s="69"/>
      <c r="R58" s="61"/>
      <c r="T58" s="232"/>
    </row>
    <row r="59" ht="15" customHeight="1">
      <c r="B59" s="12"/>
      <c r="C59" s="193"/>
      <c r="D59" s="194" t="s">
        <v>136</v>
      </c>
      <c r="E59" s="195">
        <v>0</v>
      </c>
      <c r="F59" s="195">
        <v>53583.4100000038</v>
      </c>
      <c r="G59" s="233"/>
      <c r="H59" s="234"/>
      <c r="I59" s="234"/>
      <c r="J59" s="234"/>
      <c r="K59" s="234"/>
      <c r="L59" s="234"/>
      <c r="M59" s="234"/>
      <c r="N59" s="199"/>
      <c r="O59" s="69"/>
      <c r="P59" s="69"/>
      <c r="Q59" s="69"/>
      <c r="R59" s="61"/>
      <c r="T59" s="232"/>
    </row>
    <row r="60" ht="15" customHeight="1">
      <c r="B60" s="12"/>
      <c r="C60" s="193"/>
      <c r="D60" s="194" t="s">
        <v>137</v>
      </c>
      <c r="E60" s="195">
        <v>0</v>
      </c>
      <c r="F60" s="195">
        <v>236.18</v>
      </c>
      <c r="G60" s="233"/>
      <c r="H60" s="234"/>
      <c r="I60" s="234"/>
      <c r="J60" s="234"/>
      <c r="K60" s="234"/>
      <c r="L60" s="234"/>
      <c r="M60" s="234"/>
      <c r="N60" s="199"/>
      <c r="O60" s="69"/>
      <c r="P60" s="69"/>
      <c r="Q60" s="69"/>
      <c r="R60" s="61"/>
      <c r="T60" s="232"/>
    </row>
    <row r="61" ht="15" customHeight="1">
      <c r="B61" s="12"/>
      <c r="C61" s="145" t="s">
        <v>46</v>
      </c>
      <c r="D61" s="146"/>
      <c r="E61" s="235">
        <v>0</v>
      </c>
      <c r="F61" s="235">
        <v>488082.11000000389</v>
      </c>
      <c r="G61" s="236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37"/>
      <c r="F62" s="23"/>
      <c r="G62" s="237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'[1]Page de garde'!C13&amp;" : Détail des Prestations Réglées - Synthèse par famille d'actes"</f>
        <v>KERIALIS_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152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153</v>
      </c>
      <c r="K13" s="44"/>
      <c r="L13" s="44"/>
      <c r="M13" s="44"/>
      <c r="N13" s="42"/>
      <c r="O13" s="44"/>
      <c r="P13" s="191" t="s">
        <v>154</v>
      </c>
      <c r="Q13" s="191" t="s">
        <v>155</v>
      </c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1" t="s">
        <v>156</v>
      </c>
      <c r="H14" s="131" t="s">
        <v>157</v>
      </c>
      <c r="I14" s="131" t="s">
        <v>158</v>
      </c>
      <c r="J14" s="131" t="s">
        <v>159</v>
      </c>
      <c r="K14" s="179" t="s">
        <v>160</v>
      </c>
      <c r="L14" s="179" t="s">
        <v>161</v>
      </c>
      <c r="M14" s="133"/>
      <c r="N14" s="42"/>
      <c r="O14" s="131" t="s">
        <v>156</v>
      </c>
      <c r="P14" s="152" t="s">
        <v>162</v>
      </c>
      <c r="Q14" s="192" t="s">
        <v>163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238">
        <v>42.634809384164228</v>
      </c>
      <c r="H15" s="238">
        <v>1.61</v>
      </c>
      <c r="I15" s="238">
        <v>1350</v>
      </c>
      <c r="J15" s="238">
        <v>12.971945259042032</v>
      </c>
      <c r="K15" s="238">
        <v>0.25</v>
      </c>
      <c r="L15" s="238">
        <v>200</v>
      </c>
      <c r="M15" s="67"/>
      <c r="N15" s="144"/>
      <c r="O15" s="238">
        <v>53.847920140412455</v>
      </c>
      <c r="P15" s="238">
        <v>22.551906537955251</v>
      </c>
      <c r="Q15" s="239">
        <v>-0.42479791059733329</v>
      </c>
      <c r="R15" s="61"/>
      <c r="T15" s="232"/>
    </row>
    <row r="16" ht="15" customHeight="1">
      <c r="B16" s="12"/>
      <c r="C16" s="193"/>
      <c r="D16" s="194" t="s">
        <v>84</v>
      </c>
      <c r="E16" s="195">
        <v>1021</v>
      </c>
      <c r="F16" s="196"/>
      <c r="G16" s="240">
        <v>40.073858961802159</v>
      </c>
      <c r="H16" s="240">
        <v>1.61</v>
      </c>
      <c r="I16" s="240">
        <v>459</v>
      </c>
      <c r="J16" s="240">
        <v>12.60558276199804</v>
      </c>
      <c r="K16" s="240">
        <v>0.25</v>
      </c>
      <c r="L16" s="240">
        <v>183.6</v>
      </c>
      <c r="M16" s="198"/>
      <c r="N16" s="199"/>
      <c r="O16" s="240">
        <v>38.112628032345</v>
      </c>
      <c r="P16" s="240">
        <v>14.469898921832893</v>
      </c>
      <c r="Q16" s="241">
        <v>-0.12883986758719823</v>
      </c>
      <c r="R16" s="61"/>
      <c r="T16" s="232"/>
    </row>
    <row r="17" ht="15" customHeight="1">
      <c r="B17" s="12"/>
      <c r="C17" s="193"/>
      <c r="D17" s="194" t="s">
        <v>85</v>
      </c>
      <c r="E17" s="195">
        <v>0</v>
      </c>
      <c r="F17" s="196"/>
      <c r="G17" s="240"/>
      <c r="H17" s="240">
        <v>0</v>
      </c>
      <c r="I17" s="240">
        <v>0</v>
      </c>
      <c r="J17" s="240">
        <v>0</v>
      </c>
      <c r="K17" s="240">
        <v>0</v>
      </c>
      <c r="L17" s="240">
        <v>0</v>
      </c>
      <c r="M17" s="198"/>
      <c r="N17" s="199"/>
      <c r="O17" s="240">
        <v>6.114285714285713</v>
      </c>
      <c r="P17" s="240">
        <v>2.3499999999999974</v>
      </c>
      <c r="Q17" s="241">
        <v>-1</v>
      </c>
      <c r="R17" s="61"/>
      <c r="T17" s="232"/>
    </row>
    <row r="18" ht="15" customHeight="1">
      <c r="B18" s="12"/>
      <c r="C18" s="193"/>
      <c r="D18" s="194" t="s">
        <v>86</v>
      </c>
      <c r="E18" s="195">
        <v>0</v>
      </c>
      <c r="F18" s="196"/>
      <c r="G18" s="240"/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198"/>
      <c r="N18" s="199"/>
      <c r="O18" s="240">
        <v>950</v>
      </c>
      <c r="P18" s="240">
        <v>710</v>
      </c>
      <c r="Q18" s="241">
        <v>-1</v>
      </c>
      <c r="R18" s="61"/>
      <c r="T18" s="232"/>
    </row>
    <row r="19" ht="15" customHeight="1">
      <c r="B19" s="12"/>
      <c r="C19" s="193"/>
      <c r="D19" s="194" t="s">
        <v>87</v>
      </c>
      <c r="E19" s="195">
        <v>1</v>
      </c>
      <c r="F19" s="196"/>
      <c r="G19" s="240">
        <v>1350</v>
      </c>
      <c r="H19" s="240">
        <v>1350</v>
      </c>
      <c r="I19" s="240">
        <v>1350</v>
      </c>
      <c r="J19" s="240">
        <v>200</v>
      </c>
      <c r="K19" s="240">
        <v>200</v>
      </c>
      <c r="L19" s="240">
        <v>200</v>
      </c>
      <c r="M19" s="198"/>
      <c r="N19" s="199"/>
      <c r="O19" s="240">
        <v>1565.8181818181818</v>
      </c>
      <c r="P19" s="240">
        <v>818.18181818181813</v>
      </c>
      <c r="Q19" s="241">
        <v>-0.75555555012345665</v>
      </c>
      <c r="R19" s="61"/>
      <c r="T19" s="232"/>
    </row>
    <row r="20" ht="15" customHeight="1">
      <c r="B20" s="12"/>
      <c r="C20" s="193"/>
      <c r="D20" s="194" t="s">
        <v>88</v>
      </c>
      <c r="E20" s="195">
        <v>1</v>
      </c>
      <c r="F20" s="196"/>
      <c r="G20" s="240">
        <v>1350</v>
      </c>
      <c r="H20" s="240">
        <v>1350</v>
      </c>
      <c r="I20" s="240">
        <v>1350</v>
      </c>
      <c r="J20" s="240">
        <v>200</v>
      </c>
      <c r="K20" s="240">
        <v>200</v>
      </c>
      <c r="L20" s="240">
        <v>200</v>
      </c>
      <c r="M20" s="198"/>
      <c r="N20" s="199"/>
      <c r="O20" s="240">
        <v>1575</v>
      </c>
      <c r="P20" s="240">
        <v>863.07692307692309</v>
      </c>
      <c r="Q20" s="241">
        <v>-0.76827093854556883</v>
      </c>
      <c r="R20" s="61"/>
      <c r="T20" s="232"/>
    </row>
    <row r="21" ht="15" customHeight="1">
      <c r="B21" s="12"/>
      <c r="C21" s="193"/>
      <c r="D21" s="194" t="s">
        <v>89</v>
      </c>
      <c r="E21" s="195">
        <v>0</v>
      </c>
      <c r="F21" s="196"/>
      <c r="G21" s="240"/>
      <c r="H21" s="240">
        <v>0</v>
      </c>
      <c r="I21" s="240">
        <v>0</v>
      </c>
      <c r="J21" s="240">
        <v>0</v>
      </c>
      <c r="K21" s="240">
        <v>0</v>
      </c>
      <c r="L21" s="240">
        <v>0</v>
      </c>
      <c r="M21" s="198"/>
      <c r="N21" s="199"/>
      <c r="O21" s="240">
        <v>1470.8</v>
      </c>
      <c r="P21" s="240">
        <v>692.4</v>
      </c>
      <c r="Q21" s="241">
        <v>-1</v>
      </c>
      <c r="R21" s="61"/>
      <c r="T21" s="232"/>
    </row>
    <row r="22" ht="15" customHeight="1">
      <c r="B22" s="12"/>
      <c r="C22" s="142" t="s">
        <v>90</v>
      </c>
      <c r="D22" s="143"/>
      <c r="E22" s="65">
        <v>6</v>
      </c>
      <c r="F22" s="76"/>
      <c r="G22" s="238">
        <v>906.05666666666673</v>
      </c>
      <c r="H22" s="238">
        <v>60</v>
      </c>
      <c r="I22" s="238">
        <v>2678.05</v>
      </c>
      <c r="J22" s="238">
        <v>906.05666666666673</v>
      </c>
      <c r="K22" s="238">
        <v>60</v>
      </c>
      <c r="L22" s="238">
        <v>2678.05</v>
      </c>
      <c r="M22" s="67"/>
      <c r="N22" s="144"/>
      <c r="O22" s="238">
        <v>128.76660714285714</v>
      </c>
      <c r="P22" s="238">
        <v>126.90946428571429</v>
      </c>
      <c r="Q22" s="239">
        <v>6.1393922440794428</v>
      </c>
      <c r="R22" s="61"/>
      <c r="T22" s="232"/>
    </row>
    <row r="23" ht="15" customHeight="1">
      <c r="B23" s="12"/>
      <c r="C23" s="193"/>
      <c r="D23" s="194" t="s">
        <v>91</v>
      </c>
      <c r="E23" s="195">
        <v>0</v>
      </c>
      <c r="F23" s="196"/>
      <c r="G23" s="240"/>
      <c r="H23" s="240">
        <v>0</v>
      </c>
      <c r="I23" s="240">
        <v>0</v>
      </c>
      <c r="J23" s="240">
        <v>0</v>
      </c>
      <c r="K23" s="240">
        <v>0</v>
      </c>
      <c r="L23" s="240">
        <v>0</v>
      </c>
      <c r="M23" s="198"/>
      <c r="N23" s="199"/>
      <c r="O23" s="240">
        <v>35</v>
      </c>
      <c r="P23" s="240">
        <v>7</v>
      </c>
      <c r="Q23" s="241">
        <v>-1</v>
      </c>
      <c r="R23" s="61"/>
      <c r="T23" s="232"/>
    </row>
    <row r="24" ht="15" customHeight="1">
      <c r="B24" s="12"/>
      <c r="C24" s="193"/>
      <c r="D24" s="194" t="s">
        <v>92</v>
      </c>
      <c r="E24" s="195">
        <v>4</v>
      </c>
      <c r="F24" s="196"/>
      <c r="G24" s="240">
        <v>60</v>
      </c>
      <c r="H24" s="240">
        <v>60</v>
      </c>
      <c r="I24" s="240">
        <v>60</v>
      </c>
      <c r="J24" s="240">
        <v>60</v>
      </c>
      <c r="K24" s="240">
        <v>60</v>
      </c>
      <c r="L24" s="240">
        <v>60</v>
      </c>
      <c r="M24" s="198"/>
      <c r="N24" s="199"/>
      <c r="O24" s="240">
        <v>56.291262135922331</v>
      </c>
      <c r="P24" s="240">
        <v>54.815533980582522</v>
      </c>
      <c r="Q24" s="241">
        <v>0.094580912333190437</v>
      </c>
      <c r="R24" s="61"/>
      <c r="T24" s="232"/>
    </row>
    <row r="25" ht="15" customHeight="1">
      <c r="B25" s="12"/>
      <c r="C25" s="193"/>
      <c r="D25" s="194" t="s">
        <v>93</v>
      </c>
      <c r="E25" s="195">
        <v>0</v>
      </c>
      <c r="F25" s="196"/>
      <c r="G25" s="240"/>
      <c r="H25" s="240">
        <v>0</v>
      </c>
      <c r="I25" s="240">
        <v>0</v>
      </c>
      <c r="J25" s="240">
        <v>0</v>
      </c>
      <c r="K25" s="240">
        <v>0</v>
      </c>
      <c r="L25" s="240">
        <v>0</v>
      </c>
      <c r="M25" s="198"/>
      <c r="N25" s="199"/>
      <c r="O25" s="240">
        <v>-7.29</v>
      </c>
      <c r="P25" s="240">
        <v>-7.29</v>
      </c>
      <c r="Q25" s="241">
        <v>-1</v>
      </c>
      <c r="R25" s="61"/>
      <c r="T25" s="232"/>
    </row>
    <row r="26" ht="15" customHeight="1">
      <c r="B26" s="12"/>
      <c r="C26" s="193"/>
      <c r="D26" s="194" t="s">
        <v>94</v>
      </c>
      <c r="E26" s="195">
        <v>2</v>
      </c>
      <c r="F26" s="196"/>
      <c r="G26" s="240">
        <v>2598.17</v>
      </c>
      <c r="H26" s="240">
        <v>2518.29</v>
      </c>
      <c r="I26" s="240">
        <v>2678.05</v>
      </c>
      <c r="J26" s="240">
        <v>2598.17</v>
      </c>
      <c r="K26" s="240">
        <v>2518.29</v>
      </c>
      <c r="L26" s="240">
        <v>2678.05</v>
      </c>
      <c r="M26" s="198"/>
      <c r="N26" s="199"/>
      <c r="O26" s="240">
        <v>1426.8583333333336</v>
      </c>
      <c r="P26" s="240">
        <v>1426.8583333333336</v>
      </c>
      <c r="Q26" s="241">
        <v>0.82090260819872585</v>
      </c>
      <c r="R26" s="61"/>
      <c r="T26" s="232"/>
    </row>
    <row r="27" ht="15" customHeight="1">
      <c r="B27" s="12"/>
      <c r="C27" s="142" t="s">
        <v>95</v>
      </c>
      <c r="D27" s="143"/>
      <c r="E27" s="65">
        <v>9</v>
      </c>
      <c r="F27" s="76"/>
      <c r="G27" s="238">
        <v>124.99000000000001</v>
      </c>
      <c r="H27" s="238">
        <v>60</v>
      </c>
      <c r="I27" s="238">
        <v>644.91</v>
      </c>
      <c r="J27" s="238">
        <v>35.191111111111113</v>
      </c>
      <c r="K27" s="238">
        <v>7.5</v>
      </c>
      <c r="L27" s="238">
        <v>221.72</v>
      </c>
      <c r="M27" s="67"/>
      <c r="N27" s="144"/>
      <c r="O27" s="238">
        <v>137.91918367346938</v>
      </c>
      <c r="P27" s="238">
        <v>43.244387755102039</v>
      </c>
      <c r="Q27" s="239">
        <v>-0.18622758091221059</v>
      </c>
      <c r="R27" s="61"/>
      <c r="T27" s="232"/>
    </row>
    <row r="28" ht="15" customHeight="1">
      <c r="B28" s="12"/>
      <c r="C28" s="193"/>
      <c r="D28" s="194" t="s">
        <v>96</v>
      </c>
      <c r="E28" s="195">
        <v>9</v>
      </c>
      <c r="F28" s="196"/>
      <c r="G28" s="240">
        <v>124.99000000000001</v>
      </c>
      <c r="H28" s="240">
        <v>60</v>
      </c>
      <c r="I28" s="240">
        <v>644.91</v>
      </c>
      <c r="J28" s="240">
        <v>35.191111111111113</v>
      </c>
      <c r="K28" s="240">
        <v>7.5</v>
      </c>
      <c r="L28" s="240">
        <v>221.72</v>
      </c>
      <c r="M28" s="198"/>
      <c r="N28" s="199"/>
      <c r="O28" s="240">
        <v>137.91918367346938</v>
      </c>
      <c r="P28" s="240">
        <v>43.244387755102039</v>
      </c>
      <c r="Q28" s="241">
        <v>-0.18622758091221059</v>
      </c>
      <c r="R28" s="61"/>
      <c r="T28" s="232"/>
    </row>
    <row r="29" ht="15" customHeight="1">
      <c r="B29" s="12"/>
      <c r="C29" s="142" t="s">
        <v>97</v>
      </c>
      <c r="D29" s="143"/>
      <c r="E29" s="65">
        <v>1798</v>
      </c>
      <c r="F29" s="76"/>
      <c r="G29" s="238">
        <v>152.6425250278086</v>
      </c>
      <c r="H29" s="238">
        <v>7.98</v>
      </c>
      <c r="I29" s="238">
        <v>2200</v>
      </c>
      <c r="J29" s="238">
        <v>60.762497219132356</v>
      </c>
      <c r="K29" s="238">
        <v>0.08</v>
      </c>
      <c r="L29" s="238">
        <v>1944.15</v>
      </c>
      <c r="M29" s="67"/>
      <c r="N29" s="144"/>
      <c r="O29" s="238">
        <v>145.31101121656587</v>
      </c>
      <c r="P29" s="238">
        <v>73.117336496980073</v>
      </c>
      <c r="Q29" s="239">
        <v>-0.16897232255567418</v>
      </c>
      <c r="R29" s="61"/>
      <c r="T29" s="232"/>
    </row>
    <row r="30" ht="15" customHeight="1">
      <c r="B30" s="12"/>
      <c r="C30" s="193"/>
      <c r="D30" s="194" t="s">
        <v>98</v>
      </c>
      <c r="E30" s="195">
        <v>579</v>
      </c>
      <c r="F30" s="196"/>
      <c r="G30" s="240">
        <v>22.028151986183072</v>
      </c>
      <c r="H30" s="240">
        <v>14.46</v>
      </c>
      <c r="I30" s="240">
        <v>95</v>
      </c>
      <c r="J30" s="240">
        <v>6.5195854922279626</v>
      </c>
      <c r="K30" s="240">
        <v>0.08</v>
      </c>
      <c r="L30" s="240">
        <v>25.7</v>
      </c>
      <c r="M30" s="198"/>
      <c r="N30" s="199"/>
      <c r="O30" s="240">
        <v>22.161387394311845</v>
      </c>
      <c r="P30" s="240">
        <v>6.7525749423520676</v>
      </c>
      <c r="Q30" s="241">
        <v>-0.034505227616029477</v>
      </c>
      <c r="R30" s="61"/>
      <c r="T30" s="232"/>
    </row>
    <row r="31" ht="15" customHeight="1">
      <c r="B31" s="12"/>
      <c r="C31" s="193"/>
      <c r="D31" s="194" t="s">
        <v>99</v>
      </c>
      <c r="E31" s="195">
        <v>104</v>
      </c>
      <c r="F31" s="196"/>
      <c r="G31" s="240">
        <v>504.45432692307691</v>
      </c>
      <c r="H31" s="240">
        <v>21.5</v>
      </c>
      <c r="I31" s="240">
        <v>1100</v>
      </c>
      <c r="J31" s="240">
        <v>141.34903846153844</v>
      </c>
      <c r="K31" s="240">
        <v>1.62</v>
      </c>
      <c r="L31" s="240">
        <v>446.5</v>
      </c>
      <c r="M31" s="198"/>
      <c r="N31" s="199"/>
      <c r="O31" s="240">
        <v>438.81686679174493</v>
      </c>
      <c r="P31" s="240">
        <v>206.49341463414632</v>
      </c>
      <c r="Q31" s="241">
        <v>-0.31547933251135396</v>
      </c>
      <c r="R31" s="61"/>
      <c r="T31" s="232"/>
    </row>
    <row r="32" ht="15" customHeight="1">
      <c r="B32" s="12"/>
      <c r="C32" s="193"/>
      <c r="D32" s="194" t="s">
        <v>100</v>
      </c>
      <c r="E32" s="195">
        <v>28</v>
      </c>
      <c r="F32" s="196"/>
      <c r="G32" s="240">
        <v>99.6707142857143</v>
      </c>
      <c r="H32" s="240">
        <v>31.62</v>
      </c>
      <c r="I32" s="240">
        <v>750</v>
      </c>
      <c r="J32" s="240">
        <v>32.117142857142859</v>
      </c>
      <c r="K32" s="240">
        <v>8.2</v>
      </c>
      <c r="L32" s="240">
        <v>50</v>
      </c>
      <c r="M32" s="198"/>
      <c r="N32" s="199"/>
      <c r="O32" s="240">
        <v>125.15170212765958</v>
      </c>
      <c r="P32" s="240">
        <v>62.125390070921988</v>
      </c>
      <c r="Q32" s="241">
        <v>-0.48302787587685547</v>
      </c>
      <c r="R32" s="61"/>
      <c r="T32" s="232"/>
    </row>
    <row r="33" ht="15" customHeight="1">
      <c r="B33" s="12"/>
      <c r="C33" s="193"/>
      <c r="D33" s="194" t="s">
        <v>101</v>
      </c>
      <c r="E33" s="195">
        <v>481</v>
      </c>
      <c r="F33" s="196"/>
      <c r="G33" s="240">
        <v>191.00931392931392</v>
      </c>
      <c r="H33" s="240">
        <v>7.98</v>
      </c>
      <c r="I33" s="240">
        <v>2200</v>
      </c>
      <c r="J33" s="240">
        <v>127.06054054054054</v>
      </c>
      <c r="K33" s="240">
        <v>2.17</v>
      </c>
      <c r="L33" s="240">
        <v>1944.15</v>
      </c>
      <c r="M33" s="198"/>
      <c r="N33" s="199"/>
      <c r="O33" s="240">
        <v>143.9929403660696</v>
      </c>
      <c r="P33" s="240">
        <v>85.589691005707365</v>
      </c>
      <c r="Q33" s="241">
        <v>0.48453026473979954</v>
      </c>
      <c r="R33" s="61"/>
      <c r="T33" s="232"/>
    </row>
    <row r="34" ht="15" customHeight="1">
      <c r="B34" s="12"/>
      <c r="C34" s="193"/>
      <c r="D34" s="194" t="s">
        <v>102</v>
      </c>
      <c r="E34" s="195">
        <v>96</v>
      </c>
      <c r="F34" s="196"/>
      <c r="G34" s="240">
        <v>549.40104166666663</v>
      </c>
      <c r="H34" s="240">
        <v>60</v>
      </c>
      <c r="I34" s="240">
        <v>1950</v>
      </c>
      <c r="J34" s="240">
        <v>132.91208333333333</v>
      </c>
      <c r="K34" s="240">
        <v>7.5</v>
      </c>
      <c r="L34" s="240">
        <v>600</v>
      </c>
      <c r="M34" s="198"/>
      <c r="N34" s="199"/>
      <c r="O34" s="240">
        <v>522.854938271605</v>
      </c>
      <c r="P34" s="240">
        <v>229.56749559082891</v>
      </c>
      <c r="Q34" s="241">
        <v>-0.42103259389939773</v>
      </c>
      <c r="R34" s="61"/>
      <c r="T34" s="232"/>
    </row>
    <row r="35" ht="15" customHeight="1">
      <c r="B35" s="12"/>
      <c r="C35" s="193"/>
      <c r="D35" s="194" t="s">
        <v>103</v>
      </c>
      <c r="E35" s="195">
        <v>65</v>
      </c>
      <c r="F35" s="196"/>
      <c r="G35" s="240">
        <v>557.47692307692307</v>
      </c>
      <c r="H35" s="240">
        <v>150</v>
      </c>
      <c r="I35" s="240">
        <v>1875</v>
      </c>
      <c r="J35" s="240">
        <v>133.45953846153847</v>
      </c>
      <c r="K35" s="240">
        <v>30</v>
      </c>
      <c r="L35" s="240">
        <v>642.85</v>
      </c>
      <c r="M35" s="198"/>
      <c r="N35" s="199"/>
      <c r="O35" s="240">
        <v>468.99671945701357</v>
      </c>
      <c r="P35" s="240">
        <v>222.93927601809952</v>
      </c>
      <c r="Q35" s="241">
        <v>-0.40136395870983721</v>
      </c>
      <c r="R35" s="61"/>
      <c r="T35" s="232"/>
    </row>
    <row r="36" ht="15" customHeight="1">
      <c r="B36" s="12"/>
      <c r="C36" s="193"/>
      <c r="D36" s="194" t="s">
        <v>104</v>
      </c>
      <c r="E36" s="195">
        <v>445</v>
      </c>
      <c r="F36" s="196"/>
      <c r="G36" s="240">
        <v>57.503258426966063</v>
      </c>
      <c r="H36" s="240">
        <v>17.6</v>
      </c>
      <c r="I36" s="240">
        <v>650</v>
      </c>
      <c r="J36" s="240">
        <v>16.462921348314563</v>
      </c>
      <c r="K36" s="240">
        <v>3.52</v>
      </c>
      <c r="L36" s="240">
        <v>50</v>
      </c>
      <c r="M36" s="198"/>
      <c r="N36" s="199"/>
      <c r="O36" s="240">
        <v>58.533408545367074</v>
      </c>
      <c r="P36" s="240">
        <v>18.5762025924148</v>
      </c>
      <c r="Q36" s="241">
        <v>-0.11376384836511233</v>
      </c>
      <c r="R36" s="61"/>
      <c r="T36" s="232"/>
    </row>
    <row r="37" ht="15" customHeight="1">
      <c r="B37" s="12"/>
      <c r="C37" s="142" t="s">
        <v>105</v>
      </c>
      <c r="D37" s="143"/>
      <c r="E37" s="65">
        <v>801</v>
      </c>
      <c r="F37" s="76"/>
      <c r="G37" s="238">
        <v>205.40464419475657</v>
      </c>
      <c r="H37" s="238">
        <v>4.73</v>
      </c>
      <c r="I37" s="238">
        <v>3200.17</v>
      </c>
      <c r="J37" s="238">
        <v>56.229076154806492</v>
      </c>
      <c r="K37" s="238">
        <v>0.01</v>
      </c>
      <c r="L37" s="238">
        <v>1125</v>
      </c>
      <c r="M37" s="67"/>
      <c r="N37" s="144"/>
      <c r="O37" s="238">
        <v>176.05259882369037</v>
      </c>
      <c r="P37" s="238">
        <v>64.321971002598843</v>
      </c>
      <c r="Q37" s="239">
        <v>-0.12581853798078413</v>
      </c>
      <c r="R37" s="61"/>
      <c r="T37" s="232"/>
    </row>
    <row r="38" ht="15" customHeight="1">
      <c r="B38" s="12"/>
      <c r="C38" s="193"/>
      <c r="D38" s="194" t="s">
        <v>106</v>
      </c>
      <c r="E38" s="195">
        <v>85</v>
      </c>
      <c r="F38" s="196"/>
      <c r="G38" s="240">
        <v>90.304235294117646</v>
      </c>
      <c r="H38" s="240">
        <v>15</v>
      </c>
      <c r="I38" s="240">
        <v>1125</v>
      </c>
      <c r="J38" s="240">
        <v>80.8804705882353</v>
      </c>
      <c r="K38" s="240">
        <v>15</v>
      </c>
      <c r="L38" s="240">
        <v>1125</v>
      </c>
      <c r="M38" s="198"/>
      <c r="N38" s="199"/>
      <c r="O38" s="240">
        <v>121.7327166788055</v>
      </c>
      <c r="P38" s="240">
        <v>90.76275309541154</v>
      </c>
      <c r="Q38" s="241">
        <v>-0.10888051051752479</v>
      </c>
      <c r="R38" s="61"/>
      <c r="T38" s="232"/>
    </row>
    <row r="39" ht="15" customHeight="1">
      <c r="B39" s="12"/>
      <c r="C39" s="193"/>
      <c r="D39" s="194" t="s">
        <v>107</v>
      </c>
      <c r="E39" s="195">
        <v>51</v>
      </c>
      <c r="F39" s="196"/>
      <c r="G39" s="240">
        <v>136.51215686274509</v>
      </c>
      <c r="H39" s="240">
        <v>20</v>
      </c>
      <c r="I39" s="240">
        <v>2276.15</v>
      </c>
      <c r="J39" s="240">
        <v>40.482352941176465</v>
      </c>
      <c r="K39" s="240">
        <v>7.8</v>
      </c>
      <c r="L39" s="240">
        <v>455.23</v>
      </c>
      <c r="M39" s="198"/>
      <c r="N39" s="199"/>
      <c r="O39" s="240">
        <v>96.366675712347345</v>
      </c>
      <c r="P39" s="240">
        <v>46.513839891451831</v>
      </c>
      <c r="Q39" s="241">
        <v>-0.129669044455624</v>
      </c>
      <c r="R39" s="61"/>
      <c r="T39" s="232"/>
    </row>
    <row r="40" ht="15" customHeight="1">
      <c r="B40" s="12"/>
      <c r="C40" s="193"/>
      <c r="D40" s="194" t="s">
        <v>108</v>
      </c>
      <c r="E40" s="195">
        <v>3</v>
      </c>
      <c r="F40" s="196"/>
      <c r="G40" s="240">
        <v>24</v>
      </c>
      <c r="H40" s="240">
        <v>24</v>
      </c>
      <c r="I40" s="240">
        <v>24</v>
      </c>
      <c r="J40" s="240">
        <v>24</v>
      </c>
      <c r="K40" s="240">
        <v>24</v>
      </c>
      <c r="L40" s="240">
        <v>24</v>
      </c>
      <c r="M40" s="198"/>
      <c r="N40" s="199"/>
      <c r="O40" s="240">
        <v>23.77570093457944</v>
      </c>
      <c r="P40" s="240">
        <v>23.77570093457944</v>
      </c>
      <c r="Q40" s="241">
        <v>0.0094340019431604638</v>
      </c>
      <c r="R40" s="61"/>
      <c r="T40" s="232"/>
    </row>
    <row r="41" ht="15" customHeight="1">
      <c r="B41" s="12"/>
      <c r="C41" s="193"/>
      <c r="D41" s="194" t="s">
        <v>109</v>
      </c>
      <c r="E41" s="195">
        <v>13</v>
      </c>
      <c r="F41" s="196"/>
      <c r="G41" s="240">
        <v>110.34384615384616</v>
      </c>
      <c r="H41" s="240">
        <v>53.9</v>
      </c>
      <c r="I41" s="240">
        <v>183.75</v>
      </c>
      <c r="J41" s="240">
        <v>38.619230769230768</v>
      </c>
      <c r="K41" s="240">
        <v>18.86</v>
      </c>
      <c r="L41" s="240">
        <v>64.31</v>
      </c>
      <c r="M41" s="198"/>
      <c r="N41" s="199"/>
      <c r="O41" s="240">
        <v>99.212139999999962</v>
      </c>
      <c r="P41" s="240">
        <v>34.640860000000018</v>
      </c>
      <c r="Q41" s="241">
        <v>0.11484401386799981</v>
      </c>
      <c r="R41" s="61"/>
      <c r="T41" s="232"/>
    </row>
    <row r="42" ht="15" customHeight="1">
      <c r="B42" s="12"/>
      <c r="C42" s="193"/>
      <c r="D42" s="194" t="s">
        <v>110</v>
      </c>
      <c r="E42" s="195">
        <v>24</v>
      </c>
      <c r="F42" s="196"/>
      <c r="G42" s="240">
        <v>74.735833333333332</v>
      </c>
      <c r="H42" s="240">
        <v>21.87</v>
      </c>
      <c r="I42" s="240">
        <v>1134.5</v>
      </c>
      <c r="J42" s="240">
        <v>14.946666666666667</v>
      </c>
      <c r="K42" s="240">
        <v>4.37</v>
      </c>
      <c r="L42" s="240">
        <v>226.9</v>
      </c>
      <c r="M42" s="198"/>
      <c r="N42" s="199"/>
      <c r="O42" s="240">
        <v>475.91878296146035</v>
      </c>
      <c r="P42" s="240">
        <v>94.310365111561879</v>
      </c>
      <c r="Q42" s="241">
        <v>-0.84151588796145493</v>
      </c>
      <c r="R42" s="61"/>
      <c r="T42" s="232"/>
    </row>
    <row r="43" ht="15" customHeight="1">
      <c r="B43" s="12"/>
      <c r="C43" s="193"/>
      <c r="D43" s="194" t="s">
        <v>111</v>
      </c>
      <c r="E43" s="195">
        <v>597</v>
      </c>
      <c r="F43" s="196"/>
      <c r="G43" s="240">
        <v>237.5929313232831</v>
      </c>
      <c r="H43" s="240">
        <v>10.28</v>
      </c>
      <c r="I43" s="240">
        <v>3200.17</v>
      </c>
      <c r="J43" s="240">
        <v>53.82499162479062</v>
      </c>
      <c r="K43" s="240">
        <v>0.01</v>
      </c>
      <c r="L43" s="240">
        <v>688.65</v>
      </c>
      <c r="M43" s="198"/>
      <c r="N43" s="199"/>
      <c r="O43" s="240">
        <v>192.94326455026456</v>
      </c>
      <c r="P43" s="240">
        <v>58.041021164021174</v>
      </c>
      <c r="Q43" s="241">
        <v>-0.07263830740338717</v>
      </c>
      <c r="R43" s="61"/>
      <c r="T43" s="232"/>
    </row>
    <row r="44" ht="15" customHeight="1">
      <c r="B44" s="12"/>
      <c r="C44" s="193"/>
      <c r="D44" s="194" t="s">
        <v>112</v>
      </c>
      <c r="E44" s="195">
        <v>15</v>
      </c>
      <c r="F44" s="196"/>
      <c r="G44" s="240">
        <v>237.68733333333333</v>
      </c>
      <c r="H44" s="240">
        <v>4.73</v>
      </c>
      <c r="I44" s="240">
        <v>1056.2</v>
      </c>
      <c r="J44" s="240">
        <v>123.40266666666666</v>
      </c>
      <c r="K44" s="240">
        <v>1.89</v>
      </c>
      <c r="L44" s="240">
        <v>364.96</v>
      </c>
      <c r="M44" s="198"/>
      <c r="N44" s="199"/>
      <c r="O44" s="240">
        <v>110.48441176470587</v>
      </c>
      <c r="P44" s="240">
        <v>67.941000000000031</v>
      </c>
      <c r="Q44" s="241">
        <v>0.81632151425501531</v>
      </c>
      <c r="R44" s="61"/>
      <c r="T44" s="232"/>
    </row>
    <row r="45" ht="15" customHeight="1">
      <c r="B45" s="12"/>
      <c r="C45" s="193"/>
      <c r="D45" s="194" t="s">
        <v>113</v>
      </c>
      <c r="E45" s="195">
        <v>5</v>
      </c>
      <c r="F45" s="196"/>
      <c r="G45" s="240">
        <v>204.544</v>
      </c>
      <c r="H45" s="240">
        <v>137.12</v>
      </c>
      <c r="I45" s="240">
        <v>274.24</v>
      </c>
      <c r="J45" s="240">
        <v>204.544</v>
      </c>
      <c r="K45" s="240">
        <v>137.12</v>
      </c>
      <c r="L45" s="240">
        <v>274.24</v>
      </c>
      <c r="M45" s="198"/>
      <c r="N45" s="199"/>
      <c r="O45" s="240">
        <v>341.08484848484852</v>
      </c>
      <c r="P45" s="240">
        <v>341.08484848484852</v>
      </c>
      <c r="Q45" s="241">
        <v>-0.40031335316026972</v>
      </c>
      <c r="R45" s="61"/>
      <c r="T45" s="232"/>
    </row>
    <row r="46" ht="15" customHeight="1">
      <c r="B46" s="12"/>
      <c r="C46" s="193"/>
      <c r="D46" s="194" t="s">
        <v>114</v>
      </c>
      <c r="E46" s="195">
        <v>8</v>
      </c>
      <c r="F46" s="196"/>
      <c r="G46" s="240">
        <v>20</v>
      </c>
      <c r="H46" s="240">
        <v>20</v>
      </c>
      <c r="I46" s="240">
        <v>20</v>
      </c>
      <c r="J46" s="240">
        <v>20</v>
      </c>
      <c r="K46" s="240">
        <v>20</v>
      </c>
      <c r="L46" s="240">
        <v>20</v>
      </c>
      <c r="M46" s="198"/>
      <c r="N46" s="199"/>
      <c r="O46" s="240">
        <v>24.87</v>
      </c>
      <c r="P46" s="240">
        <v>23.245454545454546</v>
      </c>
      <c r="Q46" s="241">
        <v>-0.13961842076961128</v>
      </c>
      <c r="R46" s="61"/>
      <c r="T46" s="232"/>
    </row>
    <row r="47" ht="15" customHeight="1">
      <c r="B47" s="12"/>
      <c r="C47" s="142" t="s">
        <v>115</v>
      </c>
      <c r="D47" s="143"/>
      <c r="E47" s="65">
        <v>0</v>
      </c>
      <c r="F47" s="76"/>
      <c r="G47" s="238"/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67"/>
      <c r="N47" s="144"/>
      <c r="O47" s="238">
        <v>3973.4859999999994</v>
      </c>
      <c r="P47" s="238">
        <v>3180.0919999999996</v>
      </c>
      <c r="Q47" s="239">
        <v>-1</v>
      </c>
      <c r="R47" s="61"/>
      <c r="T47" s="232"/>
    </row>
    <row r="48" ht="15" customHeight="1">
      <c r="B48" s="12"/>
      <c r="C48" s="193"/>
      <c r="D48" s="194" t="s">
        <v>116</v>
      </c>
      <c r="E48" s="195">
        <v>0</v>
      </c>
      <c r="F48" s="196"/>
      <c r="G48" s="240"/>
      <c r="H48" s="240">
        <v>0</v>
      </c>
      <c r="I48" s="240">
        <v>0</v>
      </c>
      <c r="J48" s="240">
        <v>0</v>
      </c>
      <c r="K48" s="240">
        <v>0</v>
      </c>
      <c r="L48" s="240">
        <v>0</v>
      </c>
      <c r="M48" s="198"/>
      <c r="N48" s="199"/>
      <c r="O48" s="240">
        <v>3973.4859999999994</v>
      </c>
      <c r="P48" s="240">
        <v>3180.0919999999996</v>
      </c>
      <c r="Q48" s="241">
        <v>-1</v>
      </c>
      <c r="R48" s="61"/>
      <c r="T48" s="232"/>
    </row>
    <row r="49" ht="15" customHeight="1">
      <c r="B49" s="12"/>
      <c r="C49" s="142" t="s">
        <v>117</v>
      </c>
      <c r="D49" s="143"/>
      <c r="E49" s="65">
        <v>949</v>
      </c>
      <c r="F49" s="76"/>
      <c r="G49" s="238">
        <v>211.53698630136984</v>
      </c>
      <c r="H49" s="238">
        <v>5</v>
      </c>
      <c r="I49" s="238">
        <v>1040</v>
      </c>
      <c r="J49" s="238">
        <v>105.00800842992635</v>
      </c>
      <c r="K49" s="238">
        <v>0.02</v>
      </c>
      <c r="L49" s="238">
        <v>391.94</v>
      </c>
      <c r="M49" s="67"/>
      <c r="N49" s="144"/>
      <c r="O49" s="238">
        <v>191.29175415282381</v>
      </c>
      <c r="P49" s="238">
        <v>131.49341528239216</v>
      </c>
      <c r="Q49" s="239">
        <v>-0.20141999522409493</v>
      </c>
      <c r="R49" s="61"/>
      <c r="T49" s="232"/>
    </row>
    <row r="50" ht="15" customHeight="1">
      <c r="B50" s="12"/>
      <c r="C50" s="193"/>
      <c r="D50" s="194" t="s">
        <v>118</v>
      </c>
      <c r="E50" s="195">
        <v>484</v>
      </c>
      <c r="F50" s="196"/>
      <c r="G50" s="240">
        <v>243.25175619834712</v>
      </c>
      <c r="H50" s="240">
        <v>5</v>
      </c>
      <c r="I50" s="240">
        <v>1040</v>
      </c>
      <c r="J50" s="240">
        <v>114.19154958677707</v>
      </c>
      <c r="K50" s="240">
        <v>0.02</v>
      </c>
      <c r="L50" s="240">
        <v>391.94</v>
      </c>
      <c r="M50" s="198"/>
      <c r="N50" s="199"/>
      <c r="O50" s="240">
        <v>243.94091871091862</v>
      </c>
      <c r="P50" s="240">
        <v>164.2448388648393</v>
      </c>
      <c r="Q50" s="241">
        <v>-0.30474815641043118</v>
      </c>
      <c r="R50" s="61"/>
      <c r="T50" s="232"/>
    </row>
    <row r="51" ht="15" customHeight="1">
      <c r="B51" s="12"/>
      <c r="C51" s="193"/>
      <c r="D51" s="194" t="s">
        <v>119</v>
      </c>
      <c r="E51" s="195">
        <v>8</v>
      </c>
      <c r="F51" s="196"/>
      <c r="G51" s="240">
        <v>50.625</v>
      </c>
      <c r="H51" s="240">
        <v>30</v>
      </c>
      <c r="I51" s="240">
        <v>95</v>
      </c>
      <c r="J51" s="240">
        <v>41.5125</v>
      </c>
      <c r="K51" s="240">
        <v>24.6</v>
      </c>
      <c r="L51" s="240">
        <v>77.9</v>
      </c>
      <c r="M51" s="198"/>
      <c r="N51" s="199"/>
      <c r="O51" s="240">
        <v>54.905660377358494</v>
      </c>
      <c r="P51" s="240">
        <v>45.02264150943396</v>
      </c>
      <c r="Q51" s="241">
        <v>-0.077963067437242461</v>
      </c>
      <c r="R51" s="61"/>
      <c r="T51" s="232"/>
    </row>
    <row r="52" ht="15" customHeight="1">
      <c r="B52" s="12"/>
      <c r="C52" s="193"/>
      <c r="D52" s="194" t="s">
        <v>120</v>
      </c>
      <c r="E52" s="195">
        <v>0</v>
      </c>
      <c r="F52" s="196"/>
      <c r="G52" s="240"/>
      <c r="H52" s="240">
        <v>0</v>
      </c>
      <c r="I52" s="240">
        <v>0</v>
      </c>
      <c r="J52" s="240">
        <v>0</v>
      </c>
      <c r="K52" s="240">
        <v>0</v>
      </c>
      <c r="L52" s="240">
        <v>0</v>
      </c>
      <c r="M52" s="198"/>
      <c r="N52" s="199"/>
      <c r="O52" s="240">
        <v>1240.7</v>
      </c>
      <c r="P52" s="240">
        <v>438.5200000000001</v>
      </c>
      <c r="Q52" s="241">
        <v>-1</v>
      </c>
      <c r="R52" s="61"/>
      <c r="T52" s="232"/>
    </row>
    <row r="53" ht="15" customHeight="1">
      <c r="B53" s="12"/>
      <c r="C53" s="193"/>
      <c r="D53" s="194" t="s">
        <v>121</v>
      </c>
      <c r="E53" s="195">
        <v>225</v>
      </c>
      <c r="F53" s="196"/>
      <c r="G53" s="240">
        <v>65.647022222222219</v>
      </c>
      <c r="H53" s="240">
        <v>14.4</v>
      </c>
      <c r="I53" s="240">
        <v>267</v>
      </c>
      <c r="J53" s="240">
        <v>43.086755555555555</v>
      </c>
      <c r="K53" s="240">
        <v>0.64</v>
      </c>
      <c r="L53" s="240">
        <v>267</v>
      </c>
      <c r="M53" s="198"/>
      <c r="N53" s="199"/>
      <c r="O53" s="240">
        <v>79.618192520775622</v>
      </c>
      <c r="P53" s="240">
        <v>62.825277008310238</v>
      </c>
      <c r="Q53" s="241">
        <v>-0.31418075202187656</v>
      </c>
      <c r="R53" s="61"/>
      <c r="T53" s="232"/>
    </row>
    <row r="54" ht="15" customHeight="1">
      <c r="B54" s="12"/>
      <c r="C54" s="193"/>
      <c r="D54" s="194" t="s">
        <v>122</v>
      </c>
      <c r="E54" s="195">
        <v>0</v>
      </c>
      <c r="F54" s="196"/>
      <c r="G54" s="240"/>
      <c r="H54" s="240">
        <v>0</v>
      </c>
      <c r="I54" s="240">
        <v>0</v>
      </c>
      <c r="J54" s="240">
        <v>0</v>
      </c>
      <c r="K54" s="240">
        <v>0</v>
      </c>
      <c r="L54" s="240">
        <v>0</v>
      </c>
      <c r="M54" s="198"/>
      <c r="N54" s="199"/>
      <c r="O54" s="240">
        <v>171.19375</v>
      </c>
      <c r="P54" s="240">
        <v>127.90041666666667</v>
      </c>
      <c r="Q54" s="241">
        <v>-1</v>
      </c>
      <c r="R54" s="61"/>
      <c r="T54" s="232"/>
    </row>
    <row r="55" ht="15" customHeight="1">
      <c r="B55" s="12"/>
      <c r="C55" s="193"/>
      <c r="D55" s="194" t="s">
        <v>123</v>
      </c>
      <c r="E55" s="195">
        <v>3</v>
      </c>
      <c r="F55" s="196"/>
      <c r="G55" s="240">
        <v>139.41666666666666</v>
      </c>
      <c r="H55" s="240">
        <v>115</v>
      </c>
      <c r="I55" s="240">
        <v>161.25</v>
      </c>
      <c r="J55" s="240">
        <v>118.97000000000001</v>
      </c>
      <c r="K55" s="240">
        <v>99.97</v>
      </c>
      <c r="L55" s="240">
        <v>141.97</v>
      </c>
      <c r="M55" s="198"/>
      <c r="N55" s="199"/>
      <c r="O55" s="240">
        <v>173.81022727272728</v>
      </c>
      <c r="P55" s="240">
        <v>129.52477272727273</v>
      </c>
      <c r="Q55" s="241">
        <v>-0.08148864155744695</v>
      </c>
      <c r="R55" s="61"/>
      <c r="T55" s="232"/>
    </row>
    <row r="56" ht="15" customHeight="1">
      <c r="B56" s="12"/>
      <c r="C56" s="193"/>
      <c r="D56" s="194" t="s">
        <v>124</v>
      </c>
      <c r="E56" s="195">
        <v>112</v>
      </c>
      <c r="F56" s="196"/>
      <c r="G56" s="240">
        <v>398.57294642857141</v>
      </c>
      <c r="H56" s="240">
        <v>100</v>
      </c>
      <c r="I56" s="240">
        <v>873.1</v>
      </c>
      <c r="J56" s="240">
        <v>196.66044642857145</v>
      </c>
      <c r="K56" s="240">
        <v>43</v>
      </c>
      <c r="L56" s="240">
        <v>309.97</v>
      </c>
      <c r="M56" s="198"/>
      <c r="N56" s="199"/>
      <c r="O56" s="240">
        <v>285.03553488372091</v>
      </c>
      <c r="P56" s="240">
        <v>193.28869767441876</v>
      </c>
      <c r="Q56" s="241">
        <v>0.017443854710596174</v>
      </c>
      <c r="R56" s="61"/>
      <c r="T56" s="232"/>
    </row>
    <row r="57" ht="15" customHeight="1">
      <c r="B57" s="12"/>
      <c r="C57" s="193"/>
      <c r="D57" s="194" t="s">
        <v>125</v>
      </c>
      <c r="E57" s="195">
        <v>115</v>
      </c>
      <c r="F57" s="196"/>
      <c r="G57" s="240">
        <v>191.79086956521741</v>
      </c>
      <c r="H57" s="240">
        <v>54.5</v>
      </c>
      <c r="I57" s="240">
        <v>488.28</v>
      </c>
      <c r="J57" s="240">
        <v>100.97434782608696</v>
      </c>
      <c r="K57" s="240">
        <v>9.97</v>
      </c>
      <c r="L57" s="240">
        <v>274.24</v>
      </c>
      <c r="M57" s="198"/>
      <c r="N57" s="199"/>
      <c r="O57" s="240">
        <v>142.01880877742946</v>
      </c>
      <c r="P57" s="240">
        <v>101.99027429467085</v>
      </c>
      <c r="Q57" s="241">
        <v>-0.00996173165487313</v>
      </c>
      <c r="R57" s="61"/>
      <c r="T57" s="232"/>
    </row>
    <row r="58" ht="15" customHeight="1">
      <c r="B58" s="12"/>
      <c r="C58" s="193"/>
      <c r="D58" s="194" t="s">
        <v>126</v>
      </c>
      <c r="E58" s="195">
        <v>2</v>
      </c>
      <c r="F58" s="196"/>
      <c r="G58" s="240">
        <v>362.4</v>
      </c>
      <c r="H58" s="240">
        <v>362.4</v>
      </c>
      <c r="I58" s="240">
        <v>362.4</v>
      </c>
      <c r="J58" s="240">
        <v>181.17</v>
      </c>
      <c r="K58" s="240">
        <v>146.38</v>
      </c>
      <c r="L58" s="240">
        <v>215.96</v>
      </c>
      <c r="M58" s="198"/>
      <c r="N58" s="199"/>
      <c r="O58" s="240">
        <v>570.505</v>
      </c>
      <c r="P58" s="240">
        <v>373.1125</v>
      </c>
      <c r="Q58" s="241">
        <v>-0.51443599450567867</v>
      </c>
      <c r="R58" s="61"/>
      <c r="T58" s="232"/>
    </row>
    <row r="59" ht="15" customHeight="1">
      <c r="B59" s="12"/>
      <c r="C59" s="193"/>
      <c r="D59" s="194" t="s">
        <v>127</v>
      </c>
      <c r="E59" s="195">
        <v>0</v>
      </c>
      <c r="F59" s="196"/>
      <c r="G59" s="240"/>
      <c r="H59" s="240">
        <v>0</v>
      </c>
      <c r="I59" s="240">
        <v>0</v>
      </c>
      <c r="J59" s="240">
        <v>0</v>
      </c>
      <c r="K59" s="240">
        <v>0</v>
      </c>
      <c r="L59" s="240">
        <v>0</v>
      </c>
      <c r="M59" s="198"/>
      <c r="N59" s="199"/>
      <c r="O59" s="240">
        <v>63</v>
      </c>
      <c r="P59" s="240">
        <v>62.95</v>
      </c>
      <c r="Q59" s="241">
        <v>-1</v>
      </c>
      <c r="R59" s="61"/>
      <c r="T59" s="232"/>
    </row>
    <row r="60" ht="15" customHeight="1">
      <c r="B60" s="12"/>
      <c r="C60" s="142" t="s">
        <v>128</v>
      </c>
      <c r="D60" s="143"/>
      <c r="E60" s="65">
        <v>319</v>
      </c>
      <c r="F60" s="76"/>
      <c r="G60" s="238">
        <v>51.953385579937304</v>
      </c>
      <c r="H60" s="238">
        <v>12.13</v>
      </c>
      <c r="I60" s="238">
        <v>150</v>
      </c>
      <c r="J60" s="238">
        <v>42.57721003134796</v>
      </c>
      <c r="K60" s="238">
        <v>5</v>
      </c>
      <c r="L60" s="238">
        <v>100</v>
      </c>
      <c r="M60" s="67"/>
      <c r="N60" s="144"/>
      <c r="O60" s="238">
        <v>54.288954514596085</v>
      </c>
      <c r="P60" s="238">
        <v>41.004826883910383</v>
      </c>
      <c r="Q60" s="239">
        <v>0.038346730138910434</v>
      </c>
      <c r="R60" s="61"/>
      <c r="T60" s="232"/>
    </row>
    <row r="61" ht="15" customHeight="1">
      <c r="B61" s="12"/>
      <c r="C61" s="193"/>
      <c r="D61" s="194" t="s">
        <v>129</v>
      </c>
      <c r="E61" s="195">
        <v>317</v>
      </c>
      <c r="F61" s="196"/>
      <c r="G61" s="240">
        <v>52.069400630914828</v>
      </c>
      <c r="H61" s="240">
        <v>20</v>
      </c>
      <c r="I61" s="240">
        <v>150</v>
      </c>
      <c r="J61" s="240">
        <v>42.728706624605678</v>
      </c>
      <c r="K61" s="240">
        <v>5</v>
      </c>
      <c r="L61" s="240">
        <v>100</v>
      </c>
      <c r="M61" s="198"/>
      <c r="N61" s="199"/>
      <c r="O61" s="240">
        <v>54.452727895819052</v>
      </c>
      <c r="P61" s="240">
        <v>41.1792152159013</v>
      </c>
      <c r="Q61" s="241">
        <v>0.037628220072269514</v>
      </c>
      <c r="R61" s="61"/>
      <c r="T61" s="232"/>
    </row>
    <row r="62" ht="15" customHeight="1">
      <c r="B62" s="12"/>
      <c r="C62" s="193"/>
      <c r="D62" s="194" t="s">
        <v>130</v>
      </c>
      <c r="E62" s="195">
        <v>2</v>
      </c>
      <c r="F62" s="196"/>
      <c r="G62" s="240">
        <v>33.565</v>
      </c>
      <c r="H62" s="240">
        <v>12.13</v>
      </c>
      <c r="I62" s="240">
        <v>55</v>
      </c>
      <c r="J62" s="240">
        <v>18.565</v>
      </c>
      <c r="K62" s="240">
        <v>12.13</v>
      </c>
      <c r="L62" s="240">
        <v>25</v>
      </c>
      <c r="M62" s="198"/>
      <c r="N62" s="199"/>
      <c r="O62" s="240">
        <v>37.221428571428582</v>
      </c>
      <c r="P62" s="240">
        <v>22.831071428571427</v>
      </c>
      <c r="Q62" s="241">
        <v>-0.18685477265659556</v>
      </c>
      <c r="R62" s="61"/>
      <c r="T62" s="232"/>
    </row>
    <row r="63" ht="15" customHeight="1">
      <c r="B63" s="12"/>
      <c r="C63" s="142" t="s">
        <v>131</v>
      </c>
      <c r="D63" s="143"/>
      <c r="E63" s="65">
        <v>57096</v>
      </c>
      <c r="F63" s="76"/>
      <c r="G63" s="238">
        <v>10.42411990332066</v>
      </c>
      <c r="H63" s="238">
        <v>0.31</v>
      </c>
      <c r="I63" s="238">
        <v>1190.03</v>
      </c>
      <c r="J63" s="238">
        <v>3.5297316799776479</v>
      </c>
      <c r="K63" s="238">
        <v>0.02</v>
      </c>
      <c r="L63" s="238">
        <v>833.02</v>
      </c>
      <c r="M63" s="67"/>
      <c r="N63" s="144"/>
      <c r="O63" s="238">
        <v>11.297087700843916</v>
      </c>
      <c r="P63" s="238">
        <v>4.2845221881843516</v>
      </c>
      <c r="Q63" s="239">
        <v>-0.17616991480919597</v>
      </c>
      <c r="R63" s="61"/>
      <c r="T63" s="232"/>
    </row>
    <row r="64" ht="15" customHeight="1">
      <c r="B64" s="12"/>
      <c r="C64" s="193"/>
      <c r="D64" s="194" t="s">
        <v>132</v>
      </c>
      <c r="E64" s="195">
        <v>2079</v>
      </c>
      <c r="F64" s="196"/>
      <c r="G64" s="240">
        <v>23.805541125540934</v>
      </c>
      <c r="H64" s="240">
        <v>1.35</v>
      </c>
      <c r="I64" s="240">
        <v>486</v>
      </c>
      <c r="J64" s="240">
        <v>9.3339730639731116</v>
      </c>
      <c r="K64" s="240">
        <v>0.27</v>
      </c>
      <c r="L64" s="240">
        <v>194.4</v>
      </c>
      <c r="M64" s="198"/>
      <c r="N64" s="199"/>
      <c r="O64" s="240">
        <v>23.758774369366083</v>
      </c>
      <c r="P64" s="240">
        <v>9.2234805394452088</v>
      </c>
      <c r="Q64" s="241">
        <v>0.011980267794221344</v>
      </c>
      <c r="R64" s="61"/>
      <c r="T64" s="232"/>
    </row>
    <row r="65" ht="15" customHeight="1">
      <c r="B65" s="12"/>
      <c r="C65" s="193"/>
      <c r="D65" s="194" t="s">
        <v>84</v>
      </c>
      <c r="E65" s="195">
        <v>60</v>
      </c>
      <c r="F65" s="196"/>
      <c r="G65" s="240">
        <v>53.197833333333328</v>
      </c>
      <c r="H65" s="240">
        <v>2.6</v>
      </c>
      <c r="I65" s="240">
        <v>650</v>
      </c>
      <c r="J65" s="240">
        <v>18.771666666666665</v>
      </c>
      <c r="K65" s="240">
        <v>1.04</v>
      </c>
      <c r="L65" s="240">
        <v>138</v>
      </c>
      <c r="M65" s="198"/>
      <c r="N65" s="199"/>
      <c r="O65" s="240">
        <v>50.804415094339625</v>
      </c>
      <c r="P65" s="240">
        <v>20.847408805031439</v>
      </c>
      <c r="Q65" s="241">
        <v>-0.099566372785095614</v>
      </c>
      <c r="R65" s="61"/>
      <c r="T65" s="232"/>
    </row>
    <row r="66" ht="15" customHeight="1">
      <c r="B66" s="12"/>
      <c r="C66" s="193"/>
      <c r="D66" s="194" t="s">
        <v>133</v>
      </c>
      <c r="E66" s="195">
        <v>5742</v>
      </c>
      <c r="F66" s="196"/>
      <c r="G66" s="240">
        <v>14.490426680599059</v>
      </c>
      <c r="H66" s="240">
        <v>0.75</v>
      </c>
      <c r="I66" s="240">
        <v>165</v>
      </c>
      <c r="J66" s="240">
        <v>5.513899338209753</v>
      </c>
      <c r="K66" s="240">
        <v>0.02</v>
      </c>
      <c r="L66" s="240">
        <v>97.46</v>
      </c>
      <c r="M66" s="198"/>
      <c r="N66" s="199"/>
      <c r="O66" s="240">
        <v>17.212003707086438</v>
      </c>
      <c r="P66" s="240">
        <v>6.8176008703594055</v>
      </c>
      <c r="Q66" s="241">
        <v>-0.19122565125557378</v>
      </c>
      <c r="R66" s="61"/>
      <c r="T66" s="232"/>
    </row>
    <row r="67" ht="15" customHeight="1">
      <c r="B67" s="12"/>
      <c r="C67" s="193"/>
      <c r="D67" s="194" t="s">
        <v>134</v>
      </c>
      <c r="E67" s="195">
        <v>9887</v>
      </c>
      <c r="F67" s="196"/>
      <c r="G67" s="240">
        <v>27.585016688580964</v>
      </c>
      <c r="H67" s="240">
        <v>0.51</v>
      </c>
      <c r="I67" s="240">
        <v>300</v>
      </c>
      <c r="J67" s="240">
        <v>8.07474259128143</v>
      </c>
      <c r="K67" s="240">
        <v>0.03</v>
      </c>
      <c r="L67" s="240">
        <v>100</v>
      </c>
      <c r="M67" s="198"/>
      <c r="N67" s="199"/>
      <c r="O67" s="240">
        <v>29.116977849830583</v>
      </c>
      <c r="P67" s="240">
        <v>10.502637254544746</v>
      </c>
      <c r="Q67" s="241">
        <v>-0.23117132900424653</v>
      </c>
      <c r="R67" s="61"/>
      <c r="T67" s="232"/>
    </row>
    <row r="68" ht="15" customHeight="1">
      <c r="B68" s="12"/>
      <c r="C68" s="193"/>
      <c r="D68" s="194" t="s">
        <v>135</v>
      </c>
      <c r="E68" s="195">
        <v>1598</v>
      </c>
      <c r="F68" s="196"/>
      <c r="G68" s="240">
        <v>37.983110137672149</v>
      </c>
      <c r="H68" s="240">
        <v>0.75</v>
      </c>
      <c r="I68" s="240">
        <v>795</v>
      </c>
      <c r="J68" s="240">
        <v>9.8163642052565709</v>
      </c>
      <c r="K68" s="240">
        <v>0.15</v>
      </c>
      <c r="L68" s="240">
        <v>600</v>
      </c>
      <c r="M68" s="198"/>
      <c r="N68" s="199"/>
      <c r="O68" s="240">
        <v>40.378814311468581</v>
      </c>
      <c r="P68" s="240">
        <v>12.048909998613269</v>
      </c>
      <c r="Q68" s="241">
        <v>-0.18528662367519022</v>
      </c>
      <c r="R68" s="61"/>
      <c r="T68" s="232"/>
    </row>
    <row r="69" ht="15" customHeight="1">
      <c r="B69" s="12"/>
      <c r="C69" s="193"/>
      <c r="D69" s="194" t="s">
        <v>136</v>
      </c>
      <c r="E69" s="195">
        <v>37700</v>
      </c>
      <c r="F69" s="196"/>
      <c r="G69" s="240">
        <v>3.3227427055702119</v>
      </c>
      <c r="H69" s="240">
        <v>0.31</v>
      </c>
      <c r="I69" s="240">
        <v>1190.03</v>
      </c>
      <c r="J69" s="240">
        <v>1.4213106100796764</v>
      </c>
      <c r="K69" s="240">
        <v>0.05</v>
      </c>
      <c r="L69" s="240">
        <v>833.02</v>
      </c>
      <c r="M69" s="198"/>
      <c r="N69" s="199"/>
      <c r="O69" s="240">
        <v>3.4297865403132075</v>
      </c>
      <c r="P69" s="240">
        <v>1.4762485818611941</v>
      </c>
      <c r="Q69" s="241">
        <v>-0.037190082644628086</v>
      </c>
      <c r="R69" s="61"/>
      <c r="T69" s="232"/>
    </row>
    <row r="70" ht="15" customHeight="1">
      <c r="B70" s="12"/>
      <c r="C70" s="193"/>
      <c r="D70" s="194" t="s">
        <v>137</v>
      </c>
      <c r="E70" s="195">
        <v>30</v>
      </c>
      <c r="F70" s="196"/>
      <c r="G70" s="240">
        <v>19.682000000000002</v>
      </c>
      <c r="H70" s="240">
        <v>16.9</v>
      </c>
      <c r="I70" s="240">
        <v>39</v>
      </c>
      <c r="J70" s="240">
        <v>7.8726666666666665</v>
      </c>
      <c r="K70" s="240">
        <v>6.76</v>
      </c>
      <c r="L70" s="240">
        <v>15.6</v>
      </c>
      <c r="M70" s="198"/>
      <c r="N70" s="199"/>
      <c r="O70" s="240">
        <v>21.197090909090907</v>
      </c>
      <c r="P70" s="240">
        <v>8.4787272727272711</v>
      </c>
      <c r="Q70" s="241">
        <v>-0.071473221130597842</v>
      </c>
      <c r="R70" s="61"/>
      <c r="T70" s="232"/>
    </row>
    <row r="71" ht="15" customHeight="1">
      <c r="B71" s="12"/>
      <c r="C71" s="145" t="s">
        <v>46</v>
      </c>
      <c r="D71" s="146"/>
      <c r="E71" s="134">
        <v>62001</v>
      </c>
      <c r="F71" s="135"/>
      <c r="G71" s="242">
        <v>20.994085901840233</v>
      </c>
      <c r="H71" s="242">
        <v>0.31</v>
      </c>
      <c r="I71" s="242">
        <v>3200.17</v>
      </c>
      <c r="J71" s="242">
        <v>7.8721651263689925</v>
      </c>
      <c r="K71" s="242">
        <v>0.01</v>
      </c>
      <c r="L71" s="242">
        <v>2678.05</v>
      </c>
      <c r="M71" s="137"/>
      <c r="N71" s="144"/>
      <c r="O71" s="242">
        <v>23.056926583707821</v>
      </c>
      <c r="P71" s="242">
        <v>10.510276016860093</v>
      </c>
      <c r="Q71" s="243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4"/>
      <c r="I82" s="244"/>
      <c r="J82" s="4"/>
      <c r="K82" s="244"/>
      <c r="L82" s="244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médicale"</f>
        <v> : Analyse de la dépense médicale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14.46</v>
      </c>
      <c r="X21" s="187">
        <f>X20</f>
        <v>24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28.92</v>
      </c>
      <c r="X22" s="187">
        <f>X21</f>
        <v>24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28.92</v>
      </c>
      <c r="X23" s="187">
        <f>X22</f>
        <v>24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28.92</v>
      </c>
      <c r="X24" s="187">
        <f>X23</f>
        <v>24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optique"</f>
        <v> : Analyse de la dépense médicale optique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dentaire"</f>
        <v> : Analyse de la dépense médicale dentaire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175</v>
      </c>
      <c r="B1" s="0" t="s">
        <v>176</v>
      </c>
      <c r="C1" s="0" t="s">
        <v>177</v>
      </c>
      <c r="D1" s="0" t="s">
        <v>178</v>
      </c>
      <c r="E1" s="0" t="s">
        <v>179</v>
      </c>
      <c r="F1" s="0" t="s">
        <v>180</v>
      </c>
      <c r="G1" s="0" t="s">
        <v>181</v>
      </c>
      <c r="H1" s="0" t="s">
        <v>182</v>
      </c>
      <c r="I1" s="0" t="s">
        <v>183</v>
      </c>
      <c r="J1" s="0" t="s">
        <v>184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185</v>
      </c>
      <c r="B1" s="178" t="s">
        <v>186</v>
      </c>
      <c r="C1" s="0" t="s">
        <v>187</v>
      </c>
      <c r="D1" s="0" t="s">
        <v>188</v>
      </c>
      <c r="E1" s="0" t="s">
        <v>175</v>
      </c>
      <c r="F1" s="0" t="s">
        <v>189</v>
      </c>
      <c r="G1" s="0" t="s">
        <v>184</v>
      </c>
      <c r="H1" s="0" t="s">
        <v>190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  <c r="R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 t="s">
        <v>207</v>
      </c>
      <c r="H2" s="0">
        <v>2</v>
      </c>
      <c r="I2" s="0">
        <v>6.08</v>
      </c>
      <c r="J2" s="0">
        <v>3.65</v>
      </c>
      <c r="K2" s="0">
        <v>0</v>
      </c>
      <c r="L2" s="0">
        <v>2.43</v>
      </c>
      <c r="M2" s="0" t="s">
        <v>208</v>
      </c>
      <c r="N2" s="0">
        <v>1.35</v>
      </c>
      <c r="O2" s="0">
        <v>4.73</v>
      </c>
      <c r="P2" s="0">
        <v>0.54</v>
      </c>
      <c r="Q2" s="0">
        <v>1.89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99</v>
      </c>
      <c r="F2" s="0" t="s">
        <v>97</v>
      </c>
      <c r="G2" s="0" t="s">
        <v>207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208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99</v>
      </c>
      <c r="F3" s="0" t="s">
        <v>97</v>
      </c>
      <c r="G3" s="0" t="s">
        <v>207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208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206</v>
      </c>
      <c r="C4" s="0" t="s">
        <v>10</v>
      </c>
      <c r="D4" s="0">
        <v>2021</v>
      </c>
      <c r="E4" s="0" t="s">
        <v>118</v>
      </c>
      <c r="F4" s="0" t="s">
        <v>117</v>
      </c>
      <c r="G4" s="0" t="s">
        <v>207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208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118</v>
      </c>
      <c r="F5" s="0" t="s">
        <v>117</v>
      </c>
      <c r="G5" s="0" t="s">
        <v>207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208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209</v>
      </c>
      <c r="C6" s="0" t="s">
        <v>10</v>
      </c>
      <c r="D6" s="0">
        <v>2021</v>
      </c>
      <c r="E6" s="0" t="s">
        <v>133</v>
      </c>
      <c r="F6" s="0" t="s">
        <v>131</v>
      </c>
      <c r="G6" s="0" t="s">
        <v>207</v>
      </c>
      <c r="H6" s="0">
        <v>4</v>
      </c>
      <c r="I6" s="0">
        <v>220</v>
      </c>
      <c r="J6" s="0">
        <v>0</v>
      </c>
      <c r="K6" s="0">
        <v>-134.16</v>
      </c>
      <c r="L6" s="0">
        <v>354.16</v>
      </c>
      <c r="M6" s="0" t="s">
        <v>208</v>
      </c>
      <c r="N6" s="0">
        <v>-25</v>
      </c>
      <c r="O6" s="0">
        <v>55</v>
      </c>
      <c r="P6" s="0">
        <v>-7.5</v>
      </c>
      <c r="Q6" s="0">
        <v>88.54</v>
      </c>
    </row>
    <row r="7">
      <c r="A7" s="178">
        <v>44742</v>
      </c>
      <c r="B7" s="0" t="s">
        <v>206</v>
      </c>
      <c r="C7" s="0" t="s">
        <v>10</v>
      </c>
      <c r="D7" s="0">
        <v>2021</v>
      </c>
      <c r="E7" s="0" t="s">
        <v>133</v>
      </c>
      <c r="F7" s="0" t="s">
        <v>131</v>
      </c>
      <c r="G7" s="0" t="s">
        <v>207</v>
      </c>
      <c r="H7" s="0">
        <v>17</v>
      </c>
      <c r="I7" s="0">
        <v>369.34000000000003</v>
      </c>
      <c r="J7" s="0">
        <v>239.82</v>
      </c>
      <c r="K7" s="0">
        <v>0</v>
      </c>
      <c r="L7" s="0">
        <v>109.52</v>
      </c>
      <c r="M7" s="0" t="s">
        <v>208</v>
      </c>
      <c r="N7" s="0">
        <v>-25</v>
      </c>
      <c r="O7" s="0">
        <v>55</v>
      </c>
      <c r="P7" s="0">
        <v>-7.5</v>
      </c>
      <c r="Q7" s="0">
        <v>88.54</v>
      </c>
    </row>
    <row r="8">
      <c r="A8" s="178">
        <v>44742</v>
      </c>
      <c r="B8" s="0" t="s">
        <v>210</v>
      </c>
      <c r="C8" s="0" t="s">
        <v>10</v>
      </c>
      <c r="D8" s="0">
        <v>2021</v>
      </c>
      <c r="E8" s="0" t="s">
        <v>133</v>
      </c>
      <c r="F8" s="0" t="s">
        <v>131</v>
      </c>
      <c r="G8" s="0" t="s">
        <v>207</v>
      </c>
      <c r="H8" s="0">
        <v>2</v>
      </c>
      <c r="I8" s="0">
        <v>36.56</v>
      </c>
      <c r="J8" s="0">
        <v>21.94</v>
      </c>
      <c r="K8" s="0">
        <v>0</v>
      </c>
      <c r="L8" s="0">
        <v>20</v>
      </c>
      <c r="M8" s="0" t="s">
        <v>208</v>
      </c>
      <c r="N8" s="0">
        <v>-25</v>
      </c>
      <c r="O8" s="0">
        <v>55</v>
      </c>
      <c r="P8" s="0">
        <v>-7.5</v>
      </c>
      <c r="Q8" s="0">
        <v>88.54</v>
      </c>
    </row>
    <row r="9">
      <c r="A9" s="178">
        <v>44742</v>
      </c>
      <c r="B9" s="0" t="s">
        <v>211</v>
      </c>
      <c r="C9" s="0" t="s">
        <v>10</v>
      </c>
      <c r="D9" s="0">
        <v>2021</v>
      </c>
      <c r="E9" s="0" t="s">
        <v>133</v>
      </c>
      <c r="F9" s="0" t="s">
        <v>131</v>
      </c>
      <c r="G9" s="0" t="s">
        <v>207</v>
      </c>
      <c r="H9" s="0">
        <v>2</v>
      </c>
      <c r="I9" s="0">
        <v>36.56</v>
      </c>
      <c r="J9" s="0">
        <v>21.94</v>
      </c>
      <c r="K9" s="0">
        <v>0</v>
      </c>
      <c r="L9" s="0">
        <v>40</v>
      </c>
      <c r="M9" s="0" t="s">
        <v>208</v>
      </c>
      <c r="N9" s="0">
        <v>-25</v>
      </c>
      <c r="O9" s="0">
        <v>55</v>
      </c>
      <c r="P9" s="0">
        <v>-7.5</v>
      </c>
      <c r="Q9" s="0">
        <v>88.54</v>
      </c>
    </row>
    <row r="10">
      <c r="A10" s="178">
        <v>44742</v>
      </c>
      <c r="B10" s="0" t="s">
        <v>8</v>
      </c>
      <c r="C10" s="0" t="s">
        <v>10</v>
      </c>
      <c r="D10" s="0">
        <v>2021</v>
      </c>
      <c r="E10" s="0" t="s">
        <v>133</v>
      </c>
      <c r="F10" s="0" t="s">
        <v>131</v>
      </c>
      <c r="G10" s="0" t="s">
        <v>207</v>
      </c>
      <c r="H10" s="0">
        <v>4</v>
      </c>
      <c r="I10" s="0">
        <v>12.16</v>
      </c>
      <c r="J10" s="0">
        <v>7.3</v>
      </c>
      <c r="K10" s="0">
        <v>0</v>
      </c>
      <c r="L10" s="0">
        <v>4.8599999999999994</v>
      </c>
      <c r="M10" s="0" t="s">
        <v>208</v>
      </c>
      <c r="N10" s="0">
        <v>-25</v>
      </c>
      <c r="O10" s="0">
        <v>55</v>
      </c>
      <c r="P10" s="0">
        <v>-7.5</v>
      </c>
      <c r="Q10" s="0">
        <v>88.54</v>
      </c>
    </row>
    <row r="11">
      <c r="A11" s="178">
        <v>44742</v>
      </c>
      <c r="B11" s="0" t="s">
        <v>212</v>
      </c>
      <c r="C11" s="0" t="s">
        <v>10</v>
      </c>
      <c r="D11" s="0">
        <v>2021</v>
      </c>
      <c r="E11" s="0" t="s">
        <v>133</v>
      </c>
      <c r="F11" s="0" t="s">
        <v>131</v>
      </c>
      <c r="G11" s="0" t="s">
        <v>207</v>
      </c>
      <c r="H11" s="0">
        <v>2</v>
      </c>
      <c r="I11" s="0">
        <v>36.56</v>
      </c>
      <c r="J11" s="0">
        <v>21.94</v>
      </c>
      <c r="K11" s="0">
        <v>0</v>
      </c>
      <c r="L11" s="0">
        <v>20</v>
      </c>
      <c r="M11" s="0" t="s">
        <v>208</v>
      </c>
      <c r="N11" s="0">
        <v>-25</v>
      </c>
      <c r="O11" s="0">
        <v>55</v>
      </c>
      <c r="P11" s="0">
        <v>-7.5</v>
      </c>
      <c r="Q11" s="0">
        <v>88.54</v>
      </c>
    </row>
    <row r="12">
      <c r="A12" s="178">
        <v>44742</v>
      </c>
      <c r="B12" s="0" t="s">
        <v>213</v>
      </c>
      <c r="C12" s="0" t="s">
        <v>10</v>
      </c>
      <c r="D12" s="0">
        <v>2021</v>
      </c>
      <c r="E12" s="0" t="s">
        <v>133</v>
      </c>
      <c r="F12" s="0" t="s">
        <v>131</v>
      </c>
      <c r="G12" s="0" t="s">
        <v>207</v>
      </c>
      <c r="H12" s="0">
        <v>2</v>
      </c>
      <c r="I12" s="0">
        <v>36.56</v>
      </c>
      <c r="J12" s="0">
        <v>21.94</v>
      </c>
      <c r="K12" s="0">
        <v>0</v>
      </c>
      <c r="L12" s="0">
        <v>40</v>
      </c>
      <c r="M12" s="0" t="s">
        <v>208</v>
      </c>
      <c r="N12" s="0">
        <v>-25</v>
      </c>
      <c r="O12" s="0">
        <v>55</v>
      </c>
      <c r="P12" s="0">
        <v>-7.5</v>
      </c>
      <c r="Q12" s="0">
        <v>88.54</v>
      </c>
    </row>
    <row r="13">
      <c r="A13" s="178">
        <v>44742</v>
      </c>
      <c r="B13" s="0" t="s">
        <v>209</v>
      </c>
      <c r="C13" s="0" t="s">
        <v>10</v>
      </c>
      <c r="D13" s="0">
        <v>2021</v>
      </c>
      <c r="E13" s="0" t="s">
        <v>134</v>
      </c>
      <c r="F13" s="0" t="s">
        <v>131</v>
      </c>
      <c r="G13" s="0" t="s">
        <v>207</v>
      </c>
      <c r="H13" s="0">
        <v>3</v>
      </c>
      <c r="I13" s="0">
        <v>86.95</v>
      </c>
      <c r="J13" s="0">
        <v>69.53</v>
      </c>
      <c r="K13" s="0">
        <v>0</v>
      </c>
      <c r="L13" s="0">
        <v>17.42</v>
      </c>
      <c r="M13" s="0" t="s">
        <v>208</v>
      </c>
      <c r="N13" s="0">
        <v>2</v>
      </c>
      <c r="O13" s="0">
        <v>80</v>
      </c>
      <c r="P13" s="0">
        <v>0.4</v>
      </c>
      <c r="Q13" s="0">
        <v>18.4</v>
      </c>
    </row>
    <row r="14">
      <c r="A14" s="178">
        <v>44742</v>
      </c>
      <c r="B14" s="0" t="s">
        <v>206</v>
      </c>
      <c r="C14" s="0" t="s">
        <v>10</v>
      </c>
      <c r="D14" s="0">
        <v>2021</v>
      </c>
      <c r="E14" s="0" t="s">
        <v>134</v>
      </c>
      <c r="F14" s="0" t="s">
        <v>131</v>
      </c>
      <c r="G14" s="0" t="s">
        <v>207</v>
      </c>
      <c r="H14" s="0">
        <v>2</v>
      </c>
      <c r="I14" s="0">
        <v>115</v>
      </c>
      <c r="J14" s="0">
        <v>35.900000000000006</v>
      </c>
      <c r="K14" s="0">
        <v>25.65</v>
      </c>
      <c r="L14" s="0">
        <v>19.45</v>
      </c>
      <c r="M14" s="0" t="s">
        <v>208</v>
      </c>
      <c r="N14" s="0">
        <v>2</v>
      </c>
      <c r="O14" s="0">
        <v>80</v>
      </c>
      <c r="P14" s="0">
        <v>0.4</v>
      </c>
      <c r="Q14" s="0">
        <v>18.4</v>
      </c>
    </row>
    <row r="15">
      <c r="A15" s="178">
        <v>44742</v>
      </c>
      <c r="B15" s="0" t="s">
        <v>214</v>
      </c>
      <c r="C15" s="0" t="s">
        <v>10</v>
      </c>
      <c r="D15" s="0">
        <v>2021</v>
      </c>
      <c r="E15" s="0" t="s">
        <v>134</v>
      </c>
      <c r="F15" s="0" t="s">
        <v>131</v>
      </c>
      <c r="G15" s="0" t="s">
        <v>207</v>
      </c>
      <c r="H15" s="0">
        <v>7</v>
      </c>
      <c r="I15" s="0">
        <v>306.95</v>
      </c>
      <c r="J15" s="0">
        <v>69.53</v>
      </c>
      <c r="K15" s="0">
        <v>-134.16</v>
      </c>
      <c r="L15" s="0">
        <v>371.58000000000004</v>
      </c>
      <c r="M15" s="0" t="s">
        <v>208</v>
      </c>
      <c r="N15" s="0">
        <v>2</v>
      </c>
      <c r="O15" s="0">
        <v>80</v>
      </c>
      <c r="P15" s="0">
        <v>0.4</v>
      </c>
      <c r="Q15" s="0">
        <v>18.4</v>
      </c>
    </row>
    <row r="16">
      <c r="A16" s="178">
        <v>44742</v>
      </c>
      <c r="B16" s="0" t="s">
        <v>8</v>
      </c>
      <c r="C16" s="0" t="s">
        <v>10</v>
      </c>
      <c r="D16" s="0">
        <v>2021</v>
      </c>
      <c r="E16" s="0" t="s">
        <v>134</v>
      </c>
      <c r="F16" s="0" t="s">
        <v>131</v>
      </c>
      <c r="G16" s="0" t="s">
        <v>207</v>
      </c>
      <c r="H16" s="0">
        <v>15</v>
      </c>
      <c r="I16" s="0">
        <v>472.18</v>
      </c>
      <c r="J16" s="0">
        <v>268.42</v>
      </c>
      <c r="K16" s="0">
        <v>25.65</v>
      </c>
      <c r="L16" s="0">
        <v>124.11</v>
      </c>
      <c r="M16" s="0" t="s">
        <v>208</v>
      </c>
      <c r="N16" s="0">
        <v>2</v>
      </c>
      <c r="O16" s="0">
        <v>80</v>
      </c>
      <c r="P16" s="0">
        <v>0.4</v>
      </c>
      <c r="Q16" s="0">
        <v>18.4</v>
      </c>
    </row>
    <row r="17">
      <c r="A17" s="178">
        <v>44742</v>
      </c>
      <c r="B17" s="0" t="s">
        <v>210</v>
      </c>
      <c r="C17" s="0" t="s">
        <v>10</v>
      </c>
      <c r="D17" s="0">
        <v>2020</v>
      </c>
      <c r="E17" s="0" t="s">
        <v>136</v>
      </c>
      <c r="F17" s="0" t="s">
        <v>131</v>
      </c>
      <c r="G17" s="0" t="s">
        <v>207</v>
      </c>
      <c r="H17" s="0">
        <v>2</v>
      </c>
      <c r="I17" s="0">
        <v>1.02</v>
      </c>
      <c r="J17" s="0">
        <v>0.66</v>
      </c>
      <c r="K17" s="0">
        <v>0</v>
      </c>
      <c r="L17" s="0">
        <v>60</v>
      </c>
      <c r="M17" s="0" t="s">
        <v>208</v>
      </c>
      <c r="N17" s="0">
        <v>0.51</v>
      </c>
      <c r="O17" s="0">
        <v>0.51</v>
      </c>
      <c r="P17" s="0">
        <v>30</v>
      </c>
      <c r="Q17" s="0">
        <v>40</v>
      </c>
    </row>
    <row r="18">
      <c r="A18" s="178">
        <v>44742</v>
      </c>
      <c r="B18" s="0" t="s">
        <v>211</v>
      </c>
      <c r="C18" s="0" t="s">
        <v>10</v>
      </c>
      <c r="D18" s="0">
        <v>2020</v>
      </c>
      <c r="E18" s="0" t="s">
        <v>136</v>
      </c>
      <c r="F18" s="0" t="s">
        <v>131</v>
      </c>
      <c r="G18" s="0" t="s">
        <v>207</v>
      </c>
      <c r="H18" s="0">
        <v>2</v>
      </c>
      <c r="I18" s="0">
        <v>1.02</v>
      </c>
      <c r="J18" s="0">
        <v>0.66</v>
      </c>
      <c r="K18" s="0">
        <v>0</v>
      </c>
      <c r="L18" s="0">
        <v>80</v>
      </c>
      <c r="M18" s="0" t="s">
        <v>208</v>
      </c>
      <c r="N18" s="0">
        <v>0.51</v>
      </c>
      <c r="O18" s="0">
        <v>0.51</v>
      </c>
      <c r="P18" s="0">
        <v>30</v>
      </c>
      <c r="Q18" s="0">
        <v>40</v>
      </c>
    </row>
    <row r="19">
      <c r="A19" s="178">
        <v>44742</v>
      </c>
      <c r="B19" s="0" t="s">
        <v>212</v>
      </c>
      <c r="C19" s="0" t="s">
        <v>10</v>
      </c>
      <c r="D19" s="0">
        <v>2020</v>
      </c>
      <c r="E19" s="0" t="s">
        <v>136</v>
      </c>
      <c r="F19" s="0" t="s">
        <v>131</v>
      </c>
      <c r="G19" s="0" t="s">
        <v>207</v>
      </c>
      <c r="H19" s="0">
        <v>2</v>
      </c>
      <c r="I19" s="0">
        <v>1.02</v>
      </c>
      <c r="J19" s="0">
        <v>0.66</v>
      </c>
      <c r="K19" s="0">
        <v>0</v>
      </c>
      <c r="L19" s="0">
        <v>60</v>
      </c>
      <c r="M19" s="0" t="s">
        <v>208</v>
      </c>
      <c r="N19" s="0">
        <v>0.51</v>
      </c>
      <c r="O19" s="0">
        <v>0.51</v>
      </c>
      <c r="P19" s="0">
        <v>30</v>
      </c>
      <c r="Q19" s="0">
        <v>40</v>
      </c>
    </row>
    <row r="20">
      <c r="A20" s="178">
        <v>44742</v>
      </c>
      <c r="B20" s="0" t="s">
        <v>213</v>
      </c>
      <c r="C20" s="0" t="s">
        <v>10</v>
      </c>
      <c r="D20" s="0">
        <v>2020</v>
      </c>
      <c r="E20" s="0" t="s">
        <v>136</v>
      </c>
      <c r="F20" s="0" t="s">
        <v>131</v>
      </c>
      <c r="G20" s="0" t="s">
        <v>207</v>
      </c>
      <c r="H20" s="0">
        <v>2</v>
      </c>
      <c r="I20" s="0">
        <v>1.02</v>
      </c>
      <c r="J20" s="0">
        <v>0.66</v>
      </c>
      <c r="K20" s="0">
        <v>0</v>
      </c>
      <c r="L20" s="0">
        <v>80</v>
      </c>
      <c r="M20" s="0" t="s">
        <v>208</v>
      </c>
      <c r="N20" s="0">
        <v>0.51</v>
      </c>
      <c r="O20" s="0">
        <v>0.51</v>
      </c>
      <c r="P20" s="0">
        <v>30</v>
      </c>
      <c r="Q20" s="0">
        <v>40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215</v>
      </c>
      <c r="H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>
        <v>0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216</v>
      </c>
      <c r="B1" s="0" t="s">
        <v>217</v>
      </c>
      <c r="C1" s="0" t="s">
        <v>218</v>
      </c>
      <c r="D1" s="151" t="s">
        <v>219</v>
      </c>
      <c r="E1" s="151" t="s">
        <v>220</v>
      </c>
      <c r="F1" s="151" t="s">
        <v>221</v>
      </c>
      <c r="G1" s="151" t="s">
        <v>222</v>
      </c>
      <c r="H1" s="151" t="s">
        <v>223</v>
      </c>
      <c r="I1" s="151" t="s">
        <v>224</v>
      </c>
      <c r="J1" s="151" t="s">
        <v>164</v>
      </c>
    </row>
    <row r="2">
      <c r="A2" s="149" t="s">
        <v>225</v>
      </c>
      <c r="B2" s="171" t="s">
        <v>90</v>
      </c>
      <c r="C2" s="171" t="s">
        <v>98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225</v>
      </c>
      <c r="B3" s="171" t="s">
        <v>90</v>
      </c>
      <c r="C3" s="171" t="s">
        <v>226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225</v>
      </c>
      <c r="B4" s="171" t="s">
        <v>90</v>
      </c>
      <c r="C4" s="171" t="s">
        <v>227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225</v>
      </c>
      <c r="B5" s="171" t="s">
        <v>90</v>
      </c>
      <c r="C5" s="171" t="s">
        <v>228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225</v>
      </c>
      <c r="B6" s="171" t="s">
        <v>90</v>
      </c>
      <c r="C6" s="171" t="s">
        <v>91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225</v>
      </c>
      <c r="B7" s="171" t="s">
        <v>90</v>
      </c>
      <c r="C7" s="171" t="s">
        <v>129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225</v>
      </c>
      <c r="B8" s="171" t="s">
        <v>90</v>
      </c>
      <c r="C8" s="171" t="s">
        <v>229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225</v>
      </c>
      <c r="B9" s="171" t="s">
        <v>90</v>
      </c>
      <c r="C9" s="171" t="s">
        <v>89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225</v>
      </c>
      <c r="B10" s="150" t="s">
        <v>230</v>
      </c>
      <c r="C10" s="150" t="s">
        <v>96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225</v>
      </c>
      <c r="B11" s="150" t="s">
        <v>230</v>
      </c>
      <c r="C11" s="150" t="s">
        <v>231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225</v>
      </c>
      <c r="B12" s="171" t="s">
        <v>97</v>
      </c>
      <c r="C12" s="171" t="s">
        <v>232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225</v>
      </c>
      <c r="B13" s="171" t="s">
        <v>97</v>
      </c>
      <c r="C13" s="171" t="s">
        <v>233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225</v>
      </c>
      <c r="B14" s="171" t="s">
        <v>97</v>
      </c>
      <c r="C14" s="171" t="s">
        <v>234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225</v>
      </c>
      <c r="B15" s="171" t="s">
        <v>97</v>
      </c>
      <c r="C15" s="171" t="s">
        <v>235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225</v>
      </c>
      <c r="B16" s="171" t="s">
        <v>97</v>
      </c>
      <c r="C16" s="171" t="s">
        <v>236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225</v>
      </c>
      <c r="B17" s="171" t="s">
        <v>97</v>
      </c>
      <c r="C17" s="171" t="s">
        <v>237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225</v>
      </c>
      <c r="B18" s="171" t="s">
        <v>97</v>
      </c>
      <c r="C18" s="171" t="s">
        <v>238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225</v>
      </c>
      <c r="B19" s="171" t="s">
        <v>97</v>
      </c>
      <c r="C19" s="171" t="s">
        <v>239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225</v>
      </c>
      <c r="B20" s="171" t="s">
        <v>97</v>
      </c>
      <c r="C20" s="171" t="s">
        <v>240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225</v>
      </c>
      <c r="B21" s="171" t="s">
        <v>97</v>
      </c>
      <c r="C21" s="171" t="s">
        <v>241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225</v>
      </c>
      <c r="B22" s="171" t="s">
        <v>97</v>
      </c>
      <c r="C22" s="171" t="s">
        <v>242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225</v>
      </c>
      <c r="B23" s="171" t="s">
        <v>97</v>
      </c>
      <c r="C23" s="171" t="s">
        <v>243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225</v>
      </c>
      <c r="B24" s="171" t="s">
        <v>97</v>
      </c>
      <c r="C24" s="171" t="s">
        <v>244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225</v>
      </c>
      <c r="B25" s="171" t="s">
        <v>97</v>
      </c>
      <c r="C25" s="171" t="s">
        <v>245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225</v>
      </c>
      <c r="B26" s="171" t="s">
        <v>97</v>
      </c>
      <c r="C26" s="171" t="s">
        <v>246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225</v>
      </c>
      <c r="B27" s="171" t="s">
        <v>97</v>
      </c>
      <c r="C27" s="171" t="s">
        <v>247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225</v>
      </c>
      <c r="B28" s="171" t="s">
        <v>97</v>
      </c>
      <c r="C28" s="171" t="s">
        <v>248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225</v>
      </c>
      <c r="B29" s="171" t="s">
        <v>97</v>
      </c>
      <c r="C29" s="171" t="s">
        <v>249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225</v>
      </c>
      <c r="B30" s="171" t="s">
        <v>97</v>
      </c>
      <c r="C30" s="171" t="s">
        <v>250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225</v>
      </c>
      <c r="B31" s="171" t="s">
        <v>97</v>
      </c>
      <c r="C31" s="171" t="s">
        <v>251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225</v>
      </c>
      <c r="B32" s="171" t="s">
        <v>97</v>
      </c>
      <c r="C32" s="171" t="s">
        <v>252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225</v>
      </c>
      <c r="B33" s="171" t="s">
        <v>97</v>
      </c>
      <c r="C33" s="171" t="s">
        <v>253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225</v>
      </c>
      <c r="B34" s="171" t="s">
        <v>97</v>
      </c>
      <c r="C34" s="171" t="s">
        <v>254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225</v>
      </c>
      <c r="B35" s="171" t="s">
        <v>97</v>
      </c>
      <c r="C35" s="171" t="s">
        <v>255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225</v>
      </c>
      <c r="B36" s="171" t="s">
        <v>97</v>
      </c>
      <c r="C36" s="171" t="s">
        <v>256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225</v>
      </c>
      <c r="B37" s="171" t="s">
        <v>97</v>
      </c>
      <c r="C37" s="171" t="s">
        <v>257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225</v>
      </c>
      <c r="B38" s="171" t="s">
        <v>97</v>
      </c>
      <c r="C38" s="171" t="s">
        <v>258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225</v>
      </c>
      <c r="B39" s="171" t="s">
        <v>97</v>
      </c>
      <c r="C39" s="171" t="s">
        <v>259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225</v>
      </c>
      <c r="B40" s="171" t="s">
        <v>97</v>
      </c>
      <c r="C40" s="171" t="s">
        <v>104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225</v>
      </c>
      <c r="B41" s="171" t="s">
        <v>97</v>
      </c>
      <c r="C41" s="171" t="s">
        <v>260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225</v>
      </c>
      <c r="B42" s="171" t="s">
        <v>105</v>
      </c>
      <c r="C42" s="171" t="s">
        <v>261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225</v>
      </c>
      <c r="B43" s="171" t="s">
        <v>105</v>
      </c>
      <c r="C43" s="171" t="s">
        <v>106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225</v>
      </c>
      <c r="B44" s="171" t="s">
        <v>105</v>
      </c>
      <c r="C44" s="171" t="s">
        <v>107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225</v>
      </c>
      <c r="B45" s="171" t="s">
        <v>105</v>
      </c>
      <c r="C45" s="171" t="s">
        <v>262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225</v>
      </c>
      <c r="B46" s="171" t="s">
        <v>105</v>
      </c>
      <c r="C46" s="171" t="s">
        <v>111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225</v>
      </c>
      <c r="B47" s="171" t="s">
        <v>105</v>
      </c>
      <c r="C47" s="171" t="s">
        <v>263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225</v>
      </c>
      <c r="B48" s="171" t="s">
        <v>105</v>
      </c>
      <c r="C48" s="171" t="s">
        <v>264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225</v>
      </c>
      <c r="B49" s="171" t="s">
        <v>265</v>
      </c>
      <c r="C49" s="171" t="s">
        <v>266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225</v>
      </c>
      <c r="B50" s="150" t="s">
        <v>267</v>
      </c>
      <c r="C50" s="150" t="s">
        <v>268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225</v>
      </c>
      <c r="B51" s="150" t="s">
        <v>267</v>
      </c>
      <c r="C51" s="150" t="s">
        <v>269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225</v>
      </c>
      <c r="B52" s="150" t="s">
        <v>267</v>
      </c>
      <c r="C52" s="150" t="s">
        <v>92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225</v>
      </c>
      <c r="B53" s="150" t="s">
        <v>267</v>
      </c>
      <c r="C53" s="150" t="s">
        <v>270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225</v>
      </c>
      <c r="B54" s="150" t="s">
        <v>267</v>
      </c>
      <c r="C54" s="150" t="s">
        <v>271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225</v>
      </c>
      <c r="B55" s="150" t="s">
        <v>267</v>
      </c>
      <c r="C55" s="150" t="s">
        <v>272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225</v>
      </c>
      <c r="B56" s="150" t="s">
        <v>267</v>
      </c>
      <c r="C56" s="150" t="s">
        <v>273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225</v>
      </c>
      <c r="B57" s="171" t="s">
        <v>117</v>
      </c>
      <c r="C57" s="171" t="s">
        <v>274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225</v>
      </c>
      <c r="B58" s="171" t="s">
        <v>117</v>
      </c>
      <c r="C58" s="171" t="s">
        <v>121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225</v>
      </c>
      <c r="B59" s="171" t="s">
        <v>117</v>
      </c>
      <c r="C59" s="171" t="s">
        <v>275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225</v>
      </c>
      <c r="B60" s="171" t="s">
        <v>117</v>
      </c>
      <c r="C60" s="171" t="s">
        <v>276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225</v>
      </c>
      <c r="B61" s="171" t="s">
        <v>117</v>
      </c>
      <c r="C61" s="171" t="s">
        <v>277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225</v>
      </c>
      <c r="B62" s="171" t="s">
        <v>117</v>
      </c>
      <c r="C62" s="171" t="s">
        <v>278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225</v>
      </c>
      <c r="B63" s="171" t="s">
        <v>117</v>
      </c>
      <c r="C63" s="171" t="s">
        <v>127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225</v>
      </c>
      <c r="B64" s="171" t="s">
        <v>117</v>
      </c>
      <c r="C64" s="171" t="s">
        <v>279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225</v>
      </c>
      <c r="B65" s="171" t="s">
        <v>117</v>
      </c>
      <c r="C65" s="171" t="s">
        <v>280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225</v>
      </c>
      <c r="B66" s="171" t="s">
        <v>117</v>
      </c>
      <c r="C66" s="171" t="s">
        <v>281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225</v>
      </c>
      <c r="B67" s="171" t="s">
        <v>282</v>
      </c>
      <c r="C67" s="171" t="s">
        <v>136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225</v>
      </c>
      <c r="B68" s="171" t="s">
        <v>128</v>
      </c>
      <c r="C68" s="171" t="s">
        <v>283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225</v>
      </c>
      <c r="B69" s="171" t="s">
        <v>131</v>
      </c>
      <c r="C69" s="171" t="s">
        <v>284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225</v>
      </c>
      <c r="B70" s="171" t="s">
        <v>131</v>
      </c>
      <c r="C70" s="171" t="s">
        <v>285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225</v>
      </c>
      <c r="B71" s="171" t="s">
        <v>131</v>
      </c>
      <c r="C71" s="171" t="s">
        <v>132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225</v>
      </c>
      <c r="B72" s="171" t="s">
        <v>131</v>
      </c>
      <c r="C72" s="171" t="s">
        <v>133</v>
      </c>
      <c r="D72" s="0">
        <v>1.35</v>
      </c>
      <c r="E72" s="0">
        <v>4.73</v>
      </c>
      <c r="F72" s="0">
        <v>1.35</v>
      </c>
      <c r="G72" s="0">
        <v>4.73</v>
      </c>
      <c r="H72" s="0">
        <v>4.73</v>
      </c>
      <c r="I72" s="0">
        <v>4.73</v>
      </c>
      <c r="J72" s="0">
        <v>3.04</v>
      </c>
    </row>
    <row r="73">
      <c r="A73" s="149" t="s">
        <v>225</v>
      </c>
      <c r="B73" s="171" t="s">
        <v>131</v>
      </c>
      <c r="C73" s="171" t="s">
        <v>286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225</v>
      </c>
      <c r="B74" s="171" t="s">
        <v>131</v>
      </c>
      <c r="C74" s="171" t="s">
        <v>287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225</v>
      </c>
      <c r="B75" s="171" t="s">
        <v>131</v>
      </c>
      <c r="C75" s="171" t="s">
        <v>288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6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216</v>
      </c>
      <c r="B1" s="225" t="s">
        <v>217</v>
      </c>
      <c r="C1" s="225" t="s">
        <v>218</v>
      </c>
      <c r="D1" s="225"/>
      <c r="E1" s="225" t="s">
        <v>216</v>
      </c>
      <c r="F1" s="225" t="s">
        <v>217</v>
      </c>
      <c r="M1" s="225" t="s">
        <v>289</v>
      </c>
      <c r="N1" s="225" t="s">
        <v>290</v>
      </c>
      <c r="O1" s="225" t="s">
        <v>291</v>
      </c>
      <c r="S1" s="225" t="s">
        <v>292</v>
      </c>
      <c r="T1" s="225" t="s">
        <v>293</v>
      </c>
    </row>
    <row r="2">
      <c r="A2" s="0" t="s">
        <v>294</v>
      </c>
      <c r="B2" s="0" t="s">
        <v>97</v>
      </c>
      <c r="C2" s="0" t="s">
        <v>99</v>
      </c>
      <c r="E2" s="0" t="s">
        <v>294</v>
      </c>
      <c r="F2" s="0" t="s">
        <v>97</v>
      </c>
      <c r="M2" s="0" t="s">
        <v>295</v>
      </c>
      <c r="N2" s="0" t="s">
        <v>296</v>
      </c>
      <c r="O2" s="0" t="s">
        <v>296</v>
      </c>
      <c r="S2" s="0" t="s">
        <v>297</v>
      </c>
    </row>
    <row r="3">
      <c r="A3" s="0" t="s">
        <v>294</v>
      </c>
      <c r="B3" s="0" t="s">
        <v>117</v>
      </c>
      <c r="C3" s="0" t="s">
        <v>118</v>
      </c>
      <c r="E3" s="0" t="s">
        <v>294</v>
      </c>
      <c r="F3" s="0" t="s">
        <v>117</v>
      </c>
    </row>
    <row r="4">
      <c r="A4" s="0" t="s">
        <v>294</v>
      </c>
      <c r="B4" s="0" t="s">
        <v>131</v>
      </c>
      <c r="C4" s="0" t="s">
        <v>133</v>
      </c>
      <c r="E4" s="0" t="s">
        <v>294</v>
      </c>
      <c r="F4" s="0" t="s">
        <v>131</v>
      </c>
    </row>
    <row r="5">
      <c r="A5" s="0" t="s">
        <v>294</v>
      </c>
      <c r="B5" s="0" t="s">
        <v>131</v>
      </c>
      <c r="C5" s="0" t="s">
        <v>134</v>
      </c>
    </row>
    <row r="6">
      <c r="A6" s="0" t="s">
        <v>294</v>
      </c>
      <c r="B6" s="0" t="s">
        <v>131</v>
      </c>
      <c r="C6" s="0" t="s">
        <v>136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5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298</v>
      </c>
    </row>
    <row r="2"/>
    <row r="3"/>
    <row r="4"/>
    <row r="5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299</v>
      </c>
      <c r="B1" s="0" t="s">
        <v>300</v>
      </c>
      <c r="C1" s="0" t="s">
        <v>184</v>
      </c>
    </row>
    <row r="2">
      <c r="A2" s="0" t="s">
        <v>10</v>
      </c>
      <c r="B2" s="0" t="s">
        <v>10</v>
      </c>
      <c r="C2" s="0" t="s">
        <v>301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302</v>
      </c>
      <c r="B1" s="0" t="s">
        <v>303</v>
      </c>
      <c r="C1" s="0" t="s">
        <v>304</v>
      </c>
      <c r="D1" s="0" t="s">
        <v>305</v>
      </c>
      <c r="E1" s="0" t="s">
        <v>306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